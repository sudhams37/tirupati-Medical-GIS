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8_{AE886392-52FD-47C3-8176-2DDAF1271F6F}" xr6:coauthVersionLast="47" xr6:coauthVersionMax="47" xr10:uidLastSave="{00000000-0000-0000-0000-000000000000}"/>
  <bookViews>
    <workbookView xWindow="-110" yWindow="-110" windowWidth="19420" windowHeight="11020" xr2:uid="{5FB80B38-85A4-4B5A-A7A6-559B3246E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H3" i="1"/>
  <c r="K3" i="1" s="1"/>
  <c r="H4" i="1"/>
  <c r="K4" i="1" s="1"/>
  <c r="H5" i="1"/>
  <c r="K5" i="1" s="1"/>
  <c r="H6" i="1"/>
  <c r="K6" i="1" s="1"/>
  <c r="H7" i="1"/>
  <c r="K7" i="1" s="1"/>
  <c r="H8" i="1"/>
  <c r="K8" i="1" s="1"/>
  <c r="H9" i="1"/>
  <c r="K9" i="1" s="1"/>
  <c r="H10" i="1"/>
  <c r="K10" i="1" s="1"/>
  <c r="H11" i="1"/>
  <c r="K11" i="1" s="1"/>
  <c r="H12" i="1"/>
  <c r="K12" i="1" s="1"/>
  <c r="H13" i="1"/>
  <c r="K13" i="1" s="1"/>
  <c r="H14" i="1"/>
  <c r="K14" i="1" s="1"/>
  <c r="H15" i="1"/>
  <c r="K15" i="1" s="1"/>
  <c r="H16" i="1"/>
  <c r="K16" i="1" s="1"/>
  <c r="H17" i="1"/>
  <c r="K17" i="1" s="1"/>
  <c r="H18" i="1"/>
  <c r="K18" i="1" s="1"/>
  <c r="H19" i="1"/>
  <c r="K19" i="1" s="1"/>
  <c r="H20" i="1"/>
  <c r="K20" i="1" s="1"/>
  <c r="H21" i="1"/>
  <c r="K21" i="1" s="1"/>
  <c r="H22" i="1"/>
  <c r="K22" i="1" s="1"/>
  <c r="H23" i="1"/>
  <c r="K23" i="1" s="1"/>
  <c r="H24" i="1"/>
  <c r="K24" i="1" s="1"/>
  <c r="H25" i="1"/>
  <c r="K25" i="1" s="1"/>
  <c r="H26" i="1"/>
  <c r="K26" i="1" s="1"/>
  <c r="H27" i="1"/>
  <c r="K27" i="1" s="1"/>
  <c r="H28" i="1"/>
  <c r="K28" i="1" s="1"/>
  <c r="H29" i="1"/>
  <c r="K29" i="1" s="1"/>
  <c r="H30" i="1"/>
  <c r="K30" i="1" s="1"/>
  <c r="H31" i="1"/>
  <c r="K31" i="1" s="1"/>
  <c r="H32" i="1"/>
  <c r="K32" i="1" s="1"/>
  <c r="H33" i="1"/>
  <c r="K33" i="1" s="1"/>
  <c r="H34" i="1"/>
  <c r="K34" i="1" s="1"/>
  <c r="H35" i="1"/>
  <c r="K35" i="1" s="1"/>
  <c r="H2" i="1"/>
  <c r="K2" i="1" s="1"/>
</calcChain>
</file>

<file path=xl/sharedStrings.xml><?xml version="1.0" encoding="utf-8"?>
<sst xmlns="http://schemas.openxmlformats.org/spreadsheetml/2006/main" count="114" uniqueCount="48">
  <si>
    <t xml:space="preserve">district </t>
  </si>
  <si>
    <t>population</t>
  </si>
  <si>
    <t>mandal</t>
  </si>
  <si>
    <t>total no of cases</t>
  </si>
  <si>
    <t>recovered cases</t>
  </si>
  <si>
    <t>confirmed cases</t>
  </si>
  <si>
    <t>death cases</t>
  </si>
  <si>
    <t>incidence_ratio</t>
  </si>
  <si>
    <t>recovery_ratio</t>
  </si>
  <si>
    <t>death_ratio</t>
  </si>
  <si>
    <t>Tirupati</t>
  </si>
  <si>
    <t>Srikalahasti</t>
  </si>
  <si>
    <t>Thottambedu</t>
  </si>
  <si>
    <t>Renigunta</t>
  </si>
  <si>
    <t>Yerpedu</t>
  </si>
  <si>
    <t>Nagalapuram</t>
  </si>
  <si>
    <t>Narayanavanam</t>
  </si>
  <si>
    <t>Venkatagiri</t>
  </si>
  <si>
    <t>Dakkili</t>
  </si>
  <si>
    <t>Pellakur</t>
  </si>
  <si>
    <t>Doravarisatram</t>
  </si>
  <si>
    <t>Tada</t>
  </si>
  <si>
    <t>Varadaiahpalem</t>
  </si>
  <si>
    <t>Satyavedu</t>
  </si>
  <si>
    <t>Vakadu</t>
  </si>
  <si>
    <t>Chittamur</t>
  </si>
  <si>
    <t>Tirupati Urban</t>
  </si>
  <si>
    <t>Tirupati Rural</t>
  </si>
  <si>
    <t>Chandragiri</t>
  </si>
  <si>
    <t>Pakala</t>
  </si>
  <si>
    <t>Ramachandrapuram</t>
  </si>
  <si>
    <t>Vadamalapeta</t>
  </si>
  <si>
    <t>Puttur</t>
  </si>
  <si>
    <t>Yerravaripalem</t>
  </si>
  <si>
    <t>Chinnagottigallu</t>
  </si>
  <si>
    <t>Balayapalle</t>
  </si>
  <si>
    <t>Buchinaidu Kandriga</t>
  </si>
  <si>
    <t>Chillakur</t>
  </si>
  <si>
    <t>Gudur</t>
  </si>
  <si>
    <t>Kota</t>
  </si>
  <si>
    <t>K. V. B. Puram</t>
  </si>
  <si>
    <t>Naidupet</t>
  </si>
  <si>
    <t>Ojili</t>
  </si>
  <si>
    <t>Pichatur</t>
  </si>
  <si>
    <t>Sullurpeta</t>
  </si>
  <si>
    <t>disease</t>
  </si>
  <si>
    <t>Malaria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</si>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</sst>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0" fontId="2" fillId="3" borderId="1" xfId="1" applyFont="1" applyFill="1" applyBorder="1" applyAlignment="1">
      <alignment horizontal="left" vertical="top" wrapText="1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sym('05194')" TargetMode="External"/><Relationship Id="rId18" Type="http://schemas.openxmlformats.org/officeDocument/2006/relationships/hyperlink" Target="javascript:sym('05401')" TargetMode="External"/><Relationship Id="rId26" Type="http://schemas.openxmlformats.org/officeDocument/2006/relationships/hyperlink" Target="javascript:sym('05379')" TargetMode="External"/><Relationship Id="rId3" Type="http://schemas.openxmlformats.org/officeDocument/2006/relationships/hyperlink" Target="javascript:sym('05384')" TargetMode="External"/><Relationship Id="rId21" Type="http://schemas.openxmlformats.org/officeDocument/2006/relationships/hyperlink" Target="javascript:sym('05376')" TargetMode="External"/><Relationship Id="rId34" Type="http://schemas.openxmlformats.org/officeDocument/2006/relationships/hyperlink" Target="javascript:sym('05374')" TargetMode="External"/><Relationship Id="rId7" Type="http://schemas.openxmlformats.org/officeDocument/2006/relationships/hyperlink" Target="javascript:sym('05186')" TargetMode="External"/><Relationship Id="rId12" Type="http://schemas.openxmlformats.org/officeDocument/2006/relationships/hyperlink" Target="javascript:sym('05403')" TargetMode="External"/><Relationship Id="rId17" Type="http://schemas.openxmlformats.org/officeDocument/2006/relationships/hyperlink" Target="javascript:sym('05195')" TargetMode="External"/><Relationship Id="rId25" Type="http://schemas.openxmlformats.org/officeDocument/2006/relationships/hyperlink" Target="javascript:sym('05198')" TargetMode="External"/><Relationship Id="rId33" Type="http://schemas.openxmlformats.org/officeDocument/2006/relationships/hyperlink" Target="javascript:sym('05377')" TargetMode="External"/><Relationship Id="rId2" Type="http://schemas.openxmlformats.org/officeDocument/2006/relationships/hyperlink" Target="javascript:sym('05380')" TargetMode="External"/><Relationship Id="rId16" Type="http://schemas.openxmlformats.org/officeDocument/2006/relationships/hyperlink" Target="javascript:sym('05396')" TargetMode="External"/><Relationship Id="rId20" Type="http://schemas.openxmlformats.org/officeDocument/2006/relationships/hyperlink" Target="javascript:sym('05398')" TargetMode="External"/><Relationship Id="rId29" Type="http://schemas.openxmlformats.org/officeDocument/2006/relationships/hyperlink" Target="javascript:sym('05399')" TargetMode="External"/><Relationship Id="rId1" Type="http://schemas.openxmlformats.org/officeDocument/2006/relationships/hyperlink" Target="javascript:sym('05188')" TargetMode="External"/><Relationship Id="rId6" Type="http://schemas.openxmlformats.org/officeDocument/2006/relationships/hyperlink" Target="javascript:sym('05193')" TargetMode="External"/><Relationship Id="rId11" Type="http://schemas.openxmlformats.org/officeDocument/2006/relationships/hyperlink" Target="javascript:sym('05382')" TargetMode="External"/><Relationship Id="rId24" Type="http://schemas.openxmlformats.org/officeDocument/2006/relationships/hyperlink" Target="javascript:sym('05197')" TargetMode="External"/><Relationship Id="rId32" Type="http://schemas.openxmlformats.org/officeDocument/2006/relationships/hyperlink" Target="javascript:sym('05187')" TargetMode="External"/><Relationship Id="rId5" Type="http://schemas.openxmlformats.org/officeDocument/2006/relationships/hyperlink" Target="javascript:sym('05385')" TargetMode="External"/><Relationship Id="rId15" Type="http://schemas.openxmlformats.org/officeDocument/2006/relationships/hyperlink" Target="javascript:sym('05189')" TargetMode="External"/><Relationship Id="rId23" Type="http://schemas.openxmlformats.org/officeDocument/2006/relationships/hyperlink" Target="javascript:sym('05378')" TargetMode="External"/><Relationship Id="rId28" Type="http://schemas.openxmlformats.org/officeDocument/2006/relationships/hyperlink" Target="javascript:sym('05383')" TargetMode="External"/><Relationship Id="rId10" Type="http://schemas.openxmlformats.org/officeDocument/2006/relationships/hyperlink" Target="javascript:sym('05191')" TargetMode="External"/><Relationship Id="rId19" Type="http://schemas.openxmlformats.org/officeDocument/2006/relationships/hyperlink" Target="javascript:sym('05407')" TargetMode="External"/><Relationship Id="rId31" Type="http://schemas.openxmlformats.org/officeDocument/2006/relationships/hyperlink" Target="javascript:sym('05381')" TargetMode="External"/><Relationship Id="rId4" Type="http://schemas.openxmlformats.org/officeDocument/2006/relationships/hyperlink" Target="javascript:sym('05190')" TargetMode="External"/><Relationship Id="rId9" Type="http://schemas.openxmlformats.org/officeDocument/2006/relationships/hyperlink" Target="javascript:sym('05184')" TargetMode="External"/><Relationship Id="rId14" Type="http://schemas.openxmlformats.org/officeDocument/2006/relationships/hyperlink" Target="javascript:sym('05400')" TargetMode="External"/><Relationship Id="rId22" Type="http://schemas.openxmlformats.org/officeDocument/2006/relationships/hyperlink" Target="javascript:sym('05402')" TargetMode="External"/><Relationship Id="rId27" Type="http://schemas.openxmlformats.org/officeDocument/2006/relationships/hyperlink" Target="javascript:sym('05375')" TargetMode="External"/><Relationship Id="rId30" Type="http://schemas.openxmlformats.org/officeDocument/2006/relationships/hyperlink" Target="javascript:sym('05192')" TargetMode="External"/><Relationship Id="rId8" Type="http://schemas.openxmlformats.org/officeDocument/2006/relationships/hyperlink" Target="javascript:sym('0519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D40A-519E-4F1D-A097-AB150E4675C9}">
  <dimension ref="A1:L35"/>
  <sheetViews>
    <sheetView tabSelected="1" workbookViewId="0">
      <selection activeCell="M35" sqref="M35"/>
    </sheetView>
  </sheetViews>
  <sheetFormatPr defaultRowHeight="14.5" x14ac:dyDescent="0.35"/>
  <cols>
    <col min="4" max="4" width="28" bestFit="1" customWidth="1"/>
    <col min="5" max="5" width="9.90625" bestFit="1" customWidth="1"/>
    <col min="6" max="6" width="14.453125" bestFit="1" customWidth="1"/>
    <col min="7" max="7" width="14.453125" customWidth="1"/>
    <col min="8" max="8" width="14.1796875" bestFit="1" customWidth="1"/>
    <col min="9" max="9" width="10.54296875" bestFit="1" customWidth="1"/>
    <col min="10" max="10" width="13.6328125" bestFit="1" customWidth="1"/>
    <col min="11" max="11" width="13" bestFit="1" customWidth="1"/>
    <col min="12" max="12" width="10.54296875" bestFit="1" customWidth="1"/>
  </cols>
  <sheetData>
    <row r="1" spans="1:12" ht="15" thickBot="1" x14ac:dyDescent="0.4">
      <c r="A1" t="s">
        <v>47</v>
      </c>
      <c r="B1" t="s">
        <v>45</v>
      </c>
      <c r="C1" t="s">
        <v>0</v>
      </c>
      <c r="D1" t="s">
        <v>2</v>
      </c>
      <c r="E1" t="s">
        <v>1</v>
      </c>
      <c r="F1" t="s">
        <v>3</v>
      </c>
      <c r="G1" t="s">
        <v>5</v>
      </c>
      <c r="H1" t="s">
        <v>4</v>
      </c>
      <c r="I1" t="s">
        <v>6</v>
      </c>
      <c r="J1" t="s">
        <v>7</v>
      </c>
      <c r="K1" t="s">
        <v>8</v>
      </c>
      <c r="L1" t="s">
        <v>9</v>
      </c>
    </row>
    <row r="2" spans="1:12" ht="15" thickBot="1" x14ac:dyDescent="0.4">
      <c r="A2">
        <v>1</v>
      </c>
      <c r="B2" t="s">
        <v>46</v>
      </c>
      <c r="C2" t="s">
        <v>10</v>
      </c>
      <c r="D2" s="1" t="s">
        <v>35</v>
      </c>
      <c r="E2" s="2">
        <v>33864</v>
      </c>
      <c r="F2">
        <v>1896</v>
      </c>
      <c r="G2">
        <v>1345</v>
      </c>
      <c r="H2">
        <f>(G2-I2)</f>
        <v>1340</v>
      </c>
      <c r="I2">
        <v>5</v>
      </c>
      <c r="J2" s="4">
        <f>(G2/E2)*100</f>
        <v>3.9717694306638318</v>
      </c>
      <c r="K2" s="4">
        <f>(H2/G2)*100</f>
        <v>99.628252788104092</v>
      </c>
      <c r="L2" s="4">
        <f>(I2/G2)*1000</f>
        <v>3.7174721189591078</v>
      </c>
    </row>
    <row r="3" spans="1:12" ht="15" thickBot="1" x14ac:dyDescent="0.4">
      <c r="A3">
        <v>2</v>
      </c>
      <c r="B3" t="s">
        <v>46</v>
      </c>
      <c r="C3" t="s">
        <v>10</v>
      </c>
      <c r="D3" s="1" t="s">
        <v>36</v>
      </c>
      <c r="E3" s="2">
        <v>34261</v>
      </c>
      <c r="F3">
        <v>2334</v>
      </c>
      <c r="G3">
        <v>1987</v>
      </c>
      <c r="H3">
        <f t="shared" ref="H3:H35" si="0">(G3-I3)</f>
        <v>1981</v>
      </c>
      <c r="I3">
        <v>6</v>
      </c>
      <c r="J3" s="4">
        <f t="shared" ref="J3:J35" si="1">(G3/E3)*100</f>
        <v>5.7995972096552935</v>
      </c>
      <c r="K3" s="4">
        <f t="shared" ref="K3:K35" si="2">(H3/G3)*100</f>
        <v>99.698037242073482</v>
      </c>
      <c r="L3" s="4">
        <f t="shared" ref="L3:L35" si="3">(I3/G3)*1000</f>
        <v>3.0196275792652241</v>
      </c>
    </row>
    <row r="4" spans="1:12" ht="15" thickBot="1" x14ac:dyDescent="0.4">
      <c r="A4">
        <v>3</v>
      </c>
      <c r="B4" t="s">
        <v>46</v>
      </c>
      <c r="C4" t="s">
        <v>10</v>
      </c>
      <c r="D4" s="1" t="s">
        <v>28</v>
      </c>
      <c r="E4" s="2">
        <v>57286</v>
      </c>
      <c r="F4">
        <v>3456</v>
      </c>
      <c r="G4">
        <v>2978</v>
      </c>
      <c r="H4">
        <f t="shared" si="0"/>
        <v>2975</v>
      </c>
      <c r="I4">
        <v>3</v>
      </c>
      <c r="J4" s="4">
        <f t="shared" si="1"/>
        <v>5.198477813078239</v>
      </c>
      <c r="K4" s="4">
        <f t="shared" si="2"/>
        <v>99.899261249160503</v>
      </c>
      <c r="L4" s="4">
        <f t="shared" si="3"/>
        <v>1.0073875083948958</v>
      </c>
    </row>
    <row r="5" spans="1:12" ht="15" thickBot="1" x14ac:dyDescent="0.4">
      <c r="A5">
        <v>4</v>
      </c>
      <c r="B5" t="s">
        <v>46</v>
      </c>
      <c r="C5" t="s">
        <v>10</v>
      </c>
      <c r="D5" s="1" t="s">
        <v>37</v>
      </c>
      <c r="E5" s="2">
        <v>53138</v>
      </c>
      <c r="F5">
        <v>2786</v>
      </c>
      <c r="G5">
        <v>2345</v>
      </c>
      <c r="H5">
        <f t="shared" si="0"/>
        <v>2336</v>
      </c>
      <c r="I5">
        <v>9</v>
      </c>
      <c r="J5" s="4">
        <f t="shared" si="1"/>
        <v>4.4130377507621663</v>
      </c>
      <c r="K5" s="4">
        <f t="shared" si="2"/>
        <v>99.616204690831552</v>
      </c>
      <c r="L5" s="4">
        <f t="shared" si="3"/>
        <v>3.8379530916844349</v>
      </c>
    </row>
    <row r="6" spans="1:12" ht="15" thickBot="1" x14ac:dyDescent="0.4">
      <c r="A6">
        <v>5</v>
      </c>
      <c r="B6" t="s">
        <v>46</v>
      </c>
      <c r="C6" t="s">
        <v>10</v>
      </c>
      <c r="D6" s="1" t="s">
        <v>34</v>
      </c>
      <c r="E6" s="2">
        <v>26150</v>
      </c>
      <c r="F6">
        <v>3544</v>
      </c>
      <c r="G6">
        <v>3189</v>
      </c>
      <c r="H6">
        <f t="shared" si="0"/>
        <v>3185</v>
      </c>
      <c r="I6">
        <v>4</v>
      </c>
      <c r="J6" s="4">
        <f t="shared" si="1"/>
        <v>12.195028680688337</v>
      </c>
      <c r="K6" s="4">
        <f t="shared" si="2"/>
        <v>99.874568830354335</v>
      </c>
      <c r="L6" s="4">
        <f t="shared" si="3"/>
        <v>1.2543116964565695</v>
      </c>
    </row>
    <row r="7" spans="1:12" ht="15" thickBot="1" x14ac:dyDescent="0.4">
      <c r="A7">
        <v>6</v>
      </c>
      <c r="B7" t="s">
        <v>46</v>
      </c>
      <c r="C7" t="s">
        <v>10</v>
      </c>
      <c r="D7" s="1" t="s">
        <v>25</v>
      </c>
      <c r="E7" s="2">
        <v>40241</v>
      </c>
      <c r="F7">
        <v>2398</v>
      </c>
      <c r="G7">
        <v>1980</v>
      </c>
      <c r="H7">
        <f t="shared" si="0"/>
        <v>1977</v>
      </c>
      <c r="I7">
        <v>3</v>
      </c>
      <c r="J7" s="4">
        <f t="shared" si="1"/>
        <v>4.9203548619567101</v>
      </c>
      <c r="K7" s="4">
        <f t="shared" si="2"/>
        <v>99.848484848484858</v>
      </c>
      <c r="L7" s="4">
        <f t="shared" si="3"/>
        <v>1.5151515151515151</v>
      </c>
    </row>
    <row r="8" spans="1:12" ht="15" thickBot="1" x14ac:dyDescent="0.4">
      <c r="A8">
        <v>7</v>
      </c>
      <c r="B8" t="s">
        <v>46</v>
      </c>
      <c r="C8" t="s">
        <v>10</v>
      </c>
      <c r="D8" s="1" t="s">
        <v>18</v>
      </c>
      <c r="E8" s="2">
        <v>40452</v>
      </c>
      <c r="F8">
        <v>1987</v>
      </c>
      <c r="G8">
        <v>1687</v>
      </c>
      <c r="H8">
        <f t="shared" si="0"/>
        <v>1683</v>
      </c>
      <c r="I8">
        <v>4</v>
      </c>
      <c r="J8" s="4">
        <f t="shared" si="1"/>
        <v>4.1703747651537624</v>
      </c>
      <c r="K8" s="4">
        <f t="shared" si="2"/>
        <v>99.762892708950801</v>
      </c>
      <c r="L8" s="4">
        <f t="shared" si="3"/>
        <v>2.3710729104919976</v>
      </c>
    </row>
    <row r="9" spans="1:12" ht="15" thickBot="1" x14ac:dyDescent="0.4">
      <c r="A9">
        <v>8</v>
      </c>
      <c r="B9" t="s">
        <v>46</v>
      </c>
      <c r="C9" t="s">
        <v>10</v>
      </c>
      <c r="D9" s="1" t="s">
        <v>20</v>
      </c>
      <c r="E9" s="2">
        <v>35971</v>
      </c>
      <c r="F9">
        <v>1897</v>
      </c>
      <c r="G9">
        <v>1642</v>
      </c>
      <c r="H9">
        <f t="shared" si="0"/>
        <v>1640</v>
      </c>
      <c r="I9">
        <v>2</v>
      </c>
      <c r="J9" s="4">
        <f t="shared" si="1"/>
        <v>4.5647883016874706</v>
      </c>
      <c r="K9" s="4">
        <f t="shared" si="2"/>
        <v>99.878197320341044</v>
      </c>
      <c r="L9" s="4">
        <f t="shared" si="3"/>
        <v>1.2180267965895248</v>
      </c>
    </row>
    <row r="10" spans="1:12" ht="15" thickBot="1" x14ac:dyDescent="0.4">
      <c r="A10">
        <v>9</v>
      </c>
      <c r="B10" t="s">
        <v>46</v>
      </c>
      <c r="C10" t="s">
        <v>10</v>
      </c>
      <c r="D10" s="1" t="s">
        <v>38</v>
      </c>
      <c r="E10" s="2">
        <v>116330</v>
      </c>
      <c r="F10">
        <v>2678</v>
      </c>
      <c r="G10">
        <v>2332</v>
      </c>
      <c r="H10">
        <f t="shared" si="0"/>
        <v>2326</v>
      </c>
      <c r="I10">
        <v>6</v>
      </c>
      <c r="J10" s="4">
        <f t="shared" si="1"/>
        <v>2.0046419668185336</v>
      </c>
      <c r="K10" s="4">
        <f t="shared" si="2"/>
        <v>99.742710120068608</v>
      </c>
      <c r="L10" s="4">
        <f t="shared" si="3"/>
        <v>2.5728987993138936</v>
      </c>
    </row>
    <row r="11" spans="1:12" ht="15" thickBot="1" x14ac:dyDescent="0.4">
      <c r="A11">
        <v>10</v>
      </c>
      <c r="B11" t="s">
        <v>46</v>
      </c>
      <c r="C11" t="s">
        <v>10</v>
      </c>
      <c r="D11" s="1" t="s">
        <v>39</v>
      </c>
      <c r="E11" s="2">
        <v>55226</v>
      </c>
      <c r="F11">
        <v>3276</v>
      </c>
      <c r="G11">
        <v>2913</v>
      </c>
      <c r="H11">
        <f t="shared" si="0"/>
        <v>2910</v>
      </c>
      <c r="I11">
        <v>3</v>
      </c>
      <c r="J11" s="4">
        <f t="shared" si="1"/>
        <v>5.2746894578640493</v>
      </c>
      <c r="K11" s="4">
        <f t="shared" si="2"/>
        <v>99.897013388259523</v>
      </c>
      <c r="L11" s="4">
        <f t="shared" si="3"/>
        <v>1.0298661174047374</v>
      </c>
    </row>
    <row r="12" spans="1:12" ht="15" thickBot="1" x14ac:dyDescent="0.4">
      <c r="A12">
        <v>11</v>
      </c>
      <c r="B12" t="s">
        <v>46</v>
      </c>
      <c r="C12" t="s">
        <v>10</v>
      </c>
      <c r="D12" s="1" t="s">
        <v>40</v>
      </c>
      <c r="E12" s="2">
        <v>42111</v>
      </c>
      <c r="F12">
        <v>1980</v>
      </c>
      <c r="G12">
        <v>1890</v>
      </c>
      <c r="H12">
        <f t="shared" si="0"/>
        <v>1883</v>
      </c>
      <c r="I12">
        <v>7</v>
      </c>
      <c r="J12" s="4">
        <f t="shared" si="1"/>
        <v>4.4881384911305835</v>
      </c>
      <c r="K12" s="4">
        <f t="shared" si="2"/>
        <v>99.629629629629633</v>
      </c>
      <c r="L12" s="4">
        <f t="shared" si="3"/>
        <v>3.7037037037037037</v>
      </c>
    </row>
    <row r="13" spans="1:12" ht="15" thickBot="1" x14ac:dyDescent="0.4">
      <c r="A13">
        <v>12</v>
      </c>
      <c r="B13" t="s">
        <v>46</v>
      </c>
      <c r="C13" t="s">
        <v>10</v>
      </c>
      <c r="D13" s="1" t="s">
        <v>15</v>
      </c>
      <c r="E13" s="2">
        <v>34026</v>
      </c>
      <c r="F13">
        <v>2081</v>
      </c>
      <c r="G13">
        <v>1754</v>
      </c>
      <c r="H13">
        <f t="shared" si="0"/>
        <v>1746</v>
      </c>
      <c r="I13">
        <v>8</v>
      </c>
      <c r="J13" s="4">
        <f t="shared" si="1"/>
        <v>5.1548815611591134</v>
      </c>
      <c r="K13" s="4">
        <f t="shared" si="2"/>
        <v>99.54389965792474</v>
      </c>
      <c r="L13" s="4">
        <f t="shared" si="3"/>
        <v>4.5610034207525656</v>
      </c>
    </row>
    <row r="14" spans="1:12" ht="15" thickBot="1" x14ac:dyDescent="0.4">
      <c r="A14">
        <v>13</v>
      </c>
      <c r="B14" t="s">
        <v>46</v>
      </c>
      <c r="C14" t="s">
        <v>10</v>
      </c>
      <c r="D14" s="1" t="s">
        <v>41</v>
      </c>
      <c r="E14" s="2">
        <v>79648</v>
      </c>
      <c r="F14">
        <v>2288</v>
      </c>
      <c r="G14">
        <v>1956</v>
      </c>
      <c r="H14">
        <f t="shared" si="0"/>
        <v>1952</v>
      </c>
      <c r="I14">
        <v>4</v>
      </c>
      <c r="J14" s="4">
        <f t="shared" si="1"/>
        <v>2.4558055443953393</v>
      </c>
      <c r="K14" s="4">
        <f t="shared" si="2"/>
        <v>99.795501022494889</v>
      </c>
      <c r="L14" s="4">
        <f t="shared" si="3"/>
        <v>2.0449897750511248</v>
      </c>
    </row>
    <row r="15" spans="1:12" ht="15" thickBot="1" x14ac:dyDescent="0.4">
      <c r="A15">
        <v>14</v>
      </c>
      <c r="B15" t="s">
        <v>46</v>
      </c>
      <c r="C15" t="s">
        <v>10</v>
      </c>
      <c r="D15" s="1" t="s">
        <v>16</v>
      </c>
      <c r="E15" s="2">
        <v>37041</v>
      </c>
      <c r="F15">
        <v>2779</v>
      </c>
      <c r="G15">
        <v>2564</v>
      </c>
      <c r="H15">
        <f t="shared" si="0"/>
        <v>2556</v>
      </c>
      <c r="I15">
        <v>8</v>
      </c>
      <c r="J15" s="4">
        <f t="shared" si="1"/>
        <v>6.9220593396506578</v>
      </c>
      <c r="K15" s="4">
        <f t="shared" si="2"/>
        <v>99.68798751950078</v>
      </c>
      <c r="L15" s="4">
        <f t="shared" si="3"/>
        <v>3.1201248049921997</v>
      </c>
    </row>
    <row r="16" spans="1:12" ht="15" thickBot="1" x14ac:dyDescent="0.4">
      <c r="A16">
        <v>15</v>
      </c>
      <c r="B16" t="s">
        <v>46</v>
      </c>
      <c r="C16" t="s">
        <v>10</v>
      </c>
      <c r="D16" s="1" t="s">
        <v>42</v>
      </c>
      <c r="E16" s="2">
        <v>34528</v>
      </c>
      <c r="F16">
        <v>3322</v>
      </c>
      <c r="G16">
        <v>3109</v>
      </c>
      <c r="H16">
        <f t="shared" si="0"/>
        <v>3100</v>
      </c>
      <c r="I16">
        <v>9</v>
      </c>
      <c r="J16" s="4">
        <f t="shared" si="1"/>
        <v>9.0042863762743295</v>
      </c>
      <c r="K16" s="4">
        <f t="shared" si="2"/>
        <v>99.71051785139916</v>
      </c>
      <c r="L16" s="4">
        <f t="shared" si="3"/>
        <v>2.8948214860083632</v>
      </c>
    </row>
    <row r="17" spans="1:12" ht="15" thickBot="1" x14ac:dyDescent="0.4">
      <c r="A17">
        <v>16</v>
      </c>
      <c r="B17" t="s">
        <v>46</v>
      </c>
      <c r="C17" t="s">
        <v>10</v>
      </c>
      <c r="D17" s="1" t="s">
        <v>29</v>
      </c>
      <c r="E17" s="2">
        <v>56667</v>
      </c>
      <c r="F17">
        <v>3122</v>
      </c>
      <c r="G17">
        <v>2804</v>
      </c>
      <c r="H17">
        <f t="shared" si="0"/>
        <v>2801</v>
      </c>
      <c r="I17">
        <v>3</v>
      </c>
      <c r="J17" s="4">
        <f t="shared" si="1"/>
        <v>4.9482061870224294</v>
      </c>
      <c r="K17" s="4">
        <f t="shared" si="2"/>
        <v>99.893009985734665</v>
      </c>
      <c r="L17" s="4">
        <f t="shared" si="3"/>
        <v>1.0699001426533523</v>
      </c>
    </row>
    <row r="18" spans="1:12" ht="15" thickBot="1" x14ac:dyDescent="0.4">
      <c r="A18">
        <v>17</v>
      </c>
      <c r="B18" t="s">
        <v>46</v>
      </c>
      <c r="C18" t="s">
        <v>10</v>
      </c>
      <c r="D18" s="1" t="s">
        <v>19</v>
      </c>
      <c r="E18" s="2">
        <v>34455</v>
      </c>
      <c r="F18">
        <v>2668</v>
      </c>
      <c r="G18">
        <v>2333</v>
      </c>
      <c r="H18">
        <f t="shared" si="0"/>
        <v>2328</v>
      </c>
      <c r="I18">
        <v>5</v>
      </c>
      <c r="J18" s="4">
        <f t="shared" si="1"/>
        <v>6.7711507763749816</v>
      </c>
      <c r="K18" s="4">
        <f t="shared" si="2"/>
        <v>99.785683669095576</v>
      </c>
      <c r="L18" s="4">
        <f t="shared" si="3"/>
        <v>2.1431633090441493</v>
      </c>
    </row>
    <row r="19" spans="1:12" ht="15" thickBot="1" x14ac:dyDescent="0.4">
      <c r="A19">
        <v>18</v>
      </c>
      <c r="B19" t="s">
        <v>46</v>
      </c>
      <c r="C19" t="s">
        <v>10</v>
      </c>
      <c r="D19" s="1" t="s">
        <v>43</v>
      </c>
      <c r="E19" s="2">
        <v>31524</v>
      </c>
      <c r="F19">
        <v>3221</v>
      </c>
      <c r="G19">
        <v>3008</v>
      </c>
      <c r="H19">
        <f t="shared" si="0"/>
        <v>3006</v>
      </c>
      <c r="I19">
        <v>2</v>
      </c>
      <c r="J19" s="4">
        <f t="shared" si="1"/>
        <v>9.5419363024996837</v>
      </c>
      <c r="K19" s="4">
        <f t="shared" si="2"/>
        <v>99.933510638297875</v>
      </c>
      <c r="L19" s="4">
        <f t="shared" si="3"/>
        <v>0.66489361702127658</v>
      </c>
    </row>
    <row r="20" spans="1:12" ht="15" thickBot="1" x14ac:dyDescent="0.4">
      <c r="A20">
        <v>19</v>
      </c>
      <c r="B20" t="s">
        <v>46</v>
      </c>
      <c r="C20" t="s">
        <v>10</v>
      </c>
      <c r="D20" s="1" t="s">
        <v>32</v>
      </c>
      <c r="E20" s="2">
        <v>79166</v>
      </c>
      <c r="F20">
        <v>4882</v>
      </c>
      <c r="G20">
        <v>3987</v>
      </c>
      <c r="H20">
        <f t="shared" si="0"/>
        <v>3983</v>
      </c>
      <c r="I20">
        <v>4</v>
      </c>
      <c r="J20" s="4">
        <f t="shared" si="1"/>
        <v>5.0362529368668367</v>
      </c>
      <c r="K20" s="4">
        <f t="shared" si="2"/>
        <v>99.899673940306002</v>
      </c>
      <c r="L20" s="4">
        <f t="shared" si="3"/>
        <v>1.003260596940055</v>
      </c>
    </row>
    <row r="21" spans="1:12" ht="15" thickBot="1" x14ac:dyDescent="0.4">
      <c r="A21">
        <v>20</v>
      </c>
      <c r="B21" t="s">
        <v>46</v>
      </c>
      <c r="C21" t="s">
        <v>10</v>
      </c>
      <c r="D21" s="1" t="s">
        <v>30</v>
      </c>
      <c r="E21" s="2">
        <v>31373</v>
      </c>
      <c r="F21">
        <v>4588</v>
      </c>
      <c r="G21">
        <v>4108</v>
      </c>
      <c r="H21">
        <f t="shared" si="0"/>
        <v>4099</v>
      </c>
      <c r="I21">
        <v>9</v>
      </c>
      <c r="J21" s="4">
        <f t="shared" si="1"/>
        <v>13.094061772862014</v>
      </c>
      <c r="K21" s="4">
        <f t="shared" si="2"/>
        <v>99.780915287244397</v>
      </c>
      <c r="L21" s="4">
        <f t="shared" si="3"/>
        <v>2.1908471275559886</v>
      </c>
    </row>
    <row r="22" spans="1:12" ht="15" thickBot="1" x14ac:dyDescent="0.4">
      <c r="A22">
        <v>21</v>
      </c>
      <c r="B22" t="s">
        <v>46</v>
      </c>
      <c r="C22" t="s">
        <v>10</v>
      </c>
      <c r="D22" s="1" t="s">
        <v>13</v>
      </c>
      <c r="E22" s="2">
        <v>75789</v>
      </c>
      <c r="F22">
        <v>4632</v>
      </c>
      <c r="G22">
        <v>4286</v>
      </c>
      <c r="H22">
        <f t="shared" si="0"/>
        <v>4279</v>
      </c>
      <c r="I22">
        <v>7</v>
      </c>
      <c r="J22" s="4">
        <f t="shared" si="1"/>
        <v>5.6551742337278501</v>
      </c>
      <c r="K22" s="4">
        <f t="shared" si="2"/>
        <v>99.836677554829677</v>
      </c>
      <c r="L22" s="4">
        <f t="shared" si="3"/>
        <v>1.6332244517032197</v>
      </c>
    </row>
    <row r="23" spans="1:12" ht="15" thickBot="1" x14ac:dyDescent="0.4">
      <c r="A23">
        <v>22</v>
      </c>
      <c r="B23" t="s">
        <v>46</v>
      </c>
      <c r="C23" t="s">
        <v>10</v>
      </c>
      <c r="D23" s="1" t="s">
        <v>23</v>
      </c>
      <c r="E23" s="2">
        <v>52979</v>
      </c>
      <c r="F23">
        <v>3456</v>
      </c>
      <c r="G23">
        <v>3210</v>
      </c>
      <c r="H23">
        <f t="shared" si="0"/>
        <v>3206</v>
      </c>
      <c r="I23">
        <v>4</v>
      </c>
      <c r="J23" s="4">
        <f t="shared" si="1"/>
        <v>6.0590045112214277</v>
      </c>
      <c r="K23" s="4">
        <f t="shared" si="2"/>
        <v>99.875389408099693</v>
      </c>
      <c r="L23" s="4">
        <f t="shared" si="3"/>
        <v>1.2461059190031154</v>
      </c>
    </row>
    <row r="24" spans="1:12" ht="15" thickBot="1" x14ac:dyDescent="0.4">
      <c r="A24">
        <v>23</v>
      </c>
      <c r="B24" t="s">
        <v>46</v>
      </c>
      <c r="C24" t="s">
        <v>10</v>
      </c>
      <c r="D24" s="1" t="s">
        <v>11</v>
      </c>
      <c r="E24" s="2">
        <v>137637</v>
      </c>
      <c r="F24">
        <v>4325</v>
      </c>
      <c r="G24">
        <v>4018</v>
      </c>
      <c r="H24">
        <f t="shared" si="0"/>
        <v>4016</v>
      </c>
      <c r="I24">
        <v>2</v>
      </c>
      <c r="J24" s="4">
        <f t="shared" si="1"/>
        <v>2.9192731605600239</v>
      </c>
      <c r="K24" s="4">
        <f t="shared" si="2"/>
        <v>99.950223992035831</v>
      </c>
      <c r="L24" s="4">
        <f t="shared" si="3"/>
        <v>0.49776007964161273</v>
      </c>
    </row>
    <row r="25" spans="1:12" ht="15" thickBot="1" x14ac:dyDescent="0.4">
      <c r="A25">
        <v>24</v>
      </c>
      <c r="B25" t="s">
        <v>46</v>
      </c>
      <c r="C25" t="s">
        <v>10</v>
      </c>
      <c r="D25" s="1" t="s">
        <v>44</v>
      </c>
      <c r="E25" s="2">
        <v>83760</v>
      </c>
      <c r="F25">
        <v>2564</v>
      </c>
      <c r="G25">
        <v>2019</v>
      </c>
      <c r="H25">
        <f t="shared" si="0"/>
        <v>2013</v>
      </c>
      <c r="I25">
        <v>6</v>
      </c>
      <c r="J25" s="4">
        <f t="shared" si="1"/>
        <v>2.4104584527220632</v>
      </c>
      <c r="K25" s="4">
        <f t="shared" si="2"/>
        <v>99.702823179791977</v>
      </c>
      <c r="L25" s="4">
        <f t="shared" si="3"/>
        <v>2.9717682020802374</v>
      </c>
    </row>
    <row r="26" spans="1:12" ht="15" thickBot="1" x14ac:dyDescent="0.4">
      <c r="A26">
        <v>25</v>
      </c>
      <c r="B26" t="s">
        <v>46</v>
      </c>
      <c r="C26" t="s">
        <v>10</v>
      </c>
      <c r="D26" s="1" t="s">
        <v>21</v>
      </c>
      <c r="E26" s="2">
        <v>46468</v>
      </c>
      <c r="F26">
        <v>1832</v>
      </c>
      <c r="G26">
        <v>1793</v>
      </c>
      <c r="H26">
        <f t="shared" si="0"/>
        <v>1785</v>
      </c>
      <c r="I26">
        <v>8</v>
      </c>
      <c r="J26" s="4">
        <f t="shared" si="1"/>
        <v>3.8585693380390804</v>
      </c>
      <c r="K26" s="4">
        <f t="shared" si="2"/>
        <v>99.553820412716121</v>
      </c>
      <c r="L26" s="4">
        <f t="shared" si="3"/>
        <v>4.4617958728388176</v>
      </c>
    </row>
    <row r="27" spans="1:12" ht="15" thickBot="1" x14ac:dyDescent="0.4">
      <c r="A27">
        <v>26</v>
      </c>
      <c r="B27" t="s">
        <v>46</v>
      </c>
      <c r="C27" t="s">
        <v>10</v>
      </c>
      <c r="D27" s="1" t="s">
        <v>12</v>
      </c>
      <c r="E27" s="2">
        <v>43044</v>
      </c>
      <c r="F27">
        <v>3931</v>
      </c>
      <c r="G27">
        <v>3402</v>
      </c>
      <c r="H27">
        <f t="shared" si="0"/>
        <v>3393</v>
      </c>
      <c r="I27">
        <v>9</v>
      </c>
      <c r="J27" s="4">
        <f t="shared" si="1"/>
        <v>7.9035405631446896</v>
      </c>
      <c r="K27" s="4">
        <f t="shared" si="2"/>
        <v>99.735449735449734</v>
      </c>
      <c r="L27" s="4">
        <f t="shared" si="3"/>
        <v>2.6455026455026456</v>
      </c>
    </row>
    <row r="28" spans="1:12" ht="15" thickBot="1" x14ac:dyDescent="0.4">
      <c r="A28">
        <v>27</v>
      </c>
      <c r="B28" t="s">
        <v>46</v>
      </c>
      <c r="C28" t="s">
        <v>10</v>
      </c>
      <c r="D28" s="1" t="s">
        <v>27</v>
      </c>
      <c r="E28" s="2">
        <v>117445</v>
      </c>
      <c r="F28">
        <v>2338</v>
      </c>
      <c r="G28">
        <v>2193</v>
      </c>
      <c r="H28">
        <f t="shared" si="0"/>
        <v>2190</v>
      </c>
      <c r="I28">
        <v>3</v>
      </c>
      <c r="J28" s="4">
        <f t="shared" si="1"/>
        <v>1.8672570139214102</v>
      </c>
      <c r="K28" s="4">
        <f t="shared" si="2"/>
        <v>99.863201094391243</v>
      </c>
      <c r="L28" s="4">
        <f t="shared" si="3"/>
        <v>1.3679890560875512</v>
      </c>
    </row>
    <row r="29" spans="1:12" ht="15" thickBot="1" x14ac:dyDescent="0.4">
      <c r="A29">
        <v>28</v>
      </c>
      <c r="B29" t="s">
        <v>46</v>
      </c>
      <c r="C29" t="s">
        <v>10</v>
      </c>
      <c r="D29" s="1" t="s">
        <v>26</v>
      </c>
      <c r="E29" s="2">
        <v>407232</v>
      </c>
      <c r="F29">
        <v>2003</v>
      </c>
      <c r="G29">
        <v>1806</v>
      </c>
      <c r="H29">
        <f t="shared" si="0"/>
        <v>1799</v>
      </c>
      <c r="I29">
        <v>7</v>
      </c>
      <c r="J29" s="4">
        <f t="shared" si="1"/>
        <v>0.44348184818481845</v>
      </c>
      <c r="K29" s="4">
        <f t="shared" si="2"/>
        <v>99.612403100775197</v>
      </c>
      <c r="L29" s="4">
        <f t="shared" si="3"/>
        <v>3.8759689922480618</v>
      </c>
    </row>
    <row r="30" spans="1:12" ht="15" thickBot="1" x14ac:dyDescent="0.4">
      <c r="A30">
        <v>29</v>
      </c>
      <c r="B30" t="s">
        <v>46</v>
      </c>
      <c r="C30" t="s">
        <v>10</v>
      </c>
      <c r="D30" s="1" t="s">
        <v>31</v>
      </c>
      <c r="E30" s="2">
        <v>32407</v>
      </c>
      <c r="F30">
        <v>1793</v>
      </c>
      <c r="G30">
        <v>1603</v>
      </c>
      <c r="H30">
        <f t="shared" si="0"/>
        <v>1594</v>
      </c>
      <c r="I30">
        <v>9</v>
      </c>
      <c r="J30" s="4">
        <f t="shared" si="1"/>
        <v>4.9464621840960286</v>
      </c>
      <c r="K30" s="4">
        <f t="shared" si="2"/>
        <v>99.438552713661892</v>
      </c>
      <c r="L30" s="4">
        <f t="shared" si="3"/>
        <v>5.6144728633811605</v>
      </c>
    </row>
    <row r="31" spans="1:12" ht="15" thickBot="1" x14ac:dyDescent="0.4">
      <c r="A31">
        <v>30</v>
      </c>
      <c r="B31" t="s">
        <v>46</v>
      </c>
      <c r="C31" t="s">
        <v>10</v>
      </c>
      <c r="D31" s="1" t="s">
        <v>24</v>
      </c>
      <c r="E31" s="2">
        <v>37695</v>
      </c>
      <c r="F31">
        <v>2509</v>
      </c>
      <c r="G31">
        <v>2255</v>
      </c>
      <c r="H31">
        <f t="shared" si="0"/>
        <v>2251</v>
      </c>
      <c r="I31">
        <v>4</v>
      </c>
      <c r="J31" s="4">
        <f t="shared" si="1"/>
        <v>5.9822257593845336</v>
      </c>
      <c r="K31" s="4">
        <f t="shared" si="2"/>
        <v>99.822616407982252</v>
      </c>
      <c r="L31" s="4">
        <f t="shared" si="3"/>
        <v>1.7738359201773837</v>
      </c>
    </row>
    <row r="32" spans="1:12" ht="15" thickBot="1" x14ac:dyDescent="0.4">
      <c r="A32">
        <v>31</v>
      </c>
      <c r="B32" t="s">
        <v>46</v>
      </c>
      <c r="C32" t="s">
        <v>10</v>
      </c>
      <c r="D32" s="1" t="s">
        <v>22</v>
      </c>
      <c r="E32" s="2">
        <v>45068</v>
      </c>
      <c r="F32">
        <v>3388</v>
      </c>
      <c r="G32">
        <v>3166</v>
      </c>
      <c r="H32">
        <f t="shared" si="0"/>
        <v>3161</v>
      </c>
      <c r="I32">
        <v>5</v>
      </c>
      <c r="J32" s="4">
        <f t="shared" si="1"/>
        <v>7.0249400905298662</v>
      </c>
      <c r="K32" s="4">
        <f t="shared" si="2"/>
        <v>99.842072015161094</v>
      </c>
      <c r="L32" s="4">
        <f t="shared" si="3"/>
        <v>1.5792798483891346</v>
      </c>
    </row>
    <row r="33" spans="1:12" ht="15" thickBot="1" x14ac:dyDescent="0.4">
      <c r="A33">
        <v>32</v>
      </c>
      <c r="B33" t="s">
        <v>46</v>
      </c>
      <c r="C33" t="s">
        <v>10</v>
      </c>
      <c r="D33" s="1" t="s">
        <v>17</v>
      </c>
      <c r="E33" s="2">
        <v>79588</v>
      </c>
      <c r="F33">
        <v>2879</v>
      </c>
      <c r="G33">
        <v>2799</v>
      </c>
      <c r="H33">
        <f t="shared" si="0"/>
        <v>2797</v>
      </c>
      <c r="I33">
        <v>2</v>
      </c>
      <c r="J33" s="4">
        <f t="shared" si="1"/>
        <v>3.5168618384681105</v>
      </c>
      <c r="K33" s="4">
        <f t="shared" si="2"/>
        <v>99.928545909253302</v>
      </c>
      <c r="L33" s="4">
        <f t="shared" si="3"/>
        <v>0.71454090746695242</v>
      </c>
    </row>
    <row r="34" spans="1:12" ht="15" thickBot="1" x14ac:dyDescent="0.4">
      <c r="A34">
        <v>33</v>
      </c>
      <c r="B34" t="s">
        <v>46</v>
      </c>
      <c r="C34" t="s">
        <v>10</v>
      </c>
      <c r="D34" s="1" t="s">
        <v>14</v>
      </c>
      <c r="E34" s="2">
        <v>56403</v>
      </c>
      <c r="F34">
        <v>3674</v>
      </c>
      <c r="G34">
        <v>3421</v>
      </c>
      <c r="H34">
        <f t="shared" si="0"/>
        <v>3417</v>
      </c>
      <c r="I34">
        <v>4</v>
      </c>
      <c r="J34" s="4">
        <f t="shared" si="1"/>
        <v>6.0652802155913692</v>
      </c>
      <c r="K34" s="4">
        <f t="shared" si="2"/>
        <v>99.883075124232676</v>
      </c>
      <c r="L34" s="4">
        <f t="shared" si="3"/>
        <v>1.1692487576731949</v>
      </c>
    </row>
    <row r="35" spans="1:12" ht="15" thickBot="1" x14ac:dyDescent="0.4">
      <c r="A35">
        <v>34</v>
      </c>
      <c r="B35" t="s">
        <v>46</v>
      </c>
      <c r="C35" t="s">
        <v>10</v>
      </c>
      <c r="D35" s="3" t="s">
        <v>33</v>
      </c>
      <c r="E35" s="2">
        <v>28011</v>
      </c>
      <c r="F35">
        <v>4479</v>
      </c>
      <c r="G35">
        <v>4377</v>
      </c>
      <c r="H35">
        <f t="shared" si="0"/>
        <v>4373</v>
      </c>
      <c r="I35">
        <v>4</v>
      </c>
      <c r="J35" s="4">
        <f t="shared" si="1"/>
        <v>15.62600406982971</v>
      </c>
      <c r="K35" s="4">
        <f t="shared" si="2"/>
        <v>99.908613205391816</v>
      </c>
      <c r="L35" s="4">
        <f t="shared" si="3"/>
        <v>0.91386794608179123</v>
      </c>
    </row>
  </sheetData>
  <hyperlinks>
    <hyperlink ref="D2" r:id="rId1" display="javascript:sym('05188')" xr:uid="{00B80A62-5321-4FC1-A1A4-37A62AFBEEFB}"/>
    <hyperlink ref="D3" r:id="rId2" display="javascript:sym('05380')" xr:uid="{7FA8DDEB-2E74-496D-B71F-3283B06CB10B}"/>
    <hyperlink ref="D4" r:id="rId3" display="javascript:sym('05384')" xr:uid="{F04876B9-A0FE-4F69-AED0-C9257675B251}"/>
    <hyperlink ref="D5" r:id="rId4" display="javascript:sym('05190')" xr:uid="{18E5A59C-4AC7-429E-8095-E77E62EC871B}"/>
    <hyperlink ref="D6" r:id="rId5" display="javascript:sym('05385')" xr:uid="{D670F75D-72DB-48EC-94C0-912558836C63}"/>
    <hyperlink ref="D7" r:id="rId6" display="javascript:sym('05193')" xr:uid="{59FFF98B-2A45-4DDA-963E-9D44B318886C}"/>
    <hyperlink ref="D8" r:id="rId7" display="javascript:sym('05186')" xr:uid="{E0B8ACB5-77EC-4A49-85EA-63E4916B55EC}"/>
    <hyperlink ref="D9" r:id="rId8" display="javascript:sym('05196')" xr:uid="{9E3B6059-4C28-4B63-8ABF-2880E81CC66D}"/>
    <hyperlink ref="D10" r:id="rId9" display="javascript:sym('05184')" xr:uid="{BECFEC01-0297-48F5-B108-FC04F51ADFCF}"/>
    <hyperlink ref="D11" r:id="rId10" display="javascript:sym('05191')" xr:uid="{3F8DD9CF-EF21-4D52-842D-6CB9367FB82D}"/>
    <hyperlink ref="D12" r:id="rId11" display="javascript:sym('05382')" xr:uid="{7583F7D9-E97C-48EC-A222-52F78A5EF44D}"/>
    <hyperlink ref="D13" r:id="rId12" display="javascript:sym('05403')" xr:uid="{1BE7142F-3FCB-482F-8D84-32FE99C5314B}"/>
    <hyperlink ref="D14" r:id="rId13" display="javascript:sym('05194')" xr:uid="{62CFC1D5-23EE-4333-8E6F-C1BAE18717C4}"/>
    <hyperlink ref="D15" r:id="rId14" display="javascript:sym('05400')" xr:uid="{6885C759-0B29-4630-9820-B27CC35D939E}"/>
    <hyperlink ref="D16" r:id="rId15" display="javascript:sym('05189')" xr:uid="{A8FD7D68-CE16-4B36-A502-E48BC9148628}"/>
    <hyperlink ref="D17" r:id="rId16" display="javascript:sym('05396')" xr:uid="{139B473F-FDF3-4E54-9570-C8D3B8A2CADD}"/>
    <hyperlink ref="D18" r:id="rId17" display="javascript:sym('05195')" xr:uid="{585397A2-96A7-4D33-A846-1D9B1B18B5E6}"/>
    <hyperlink ref="D19" r:id="rId18" display="javascript:sym('05401')" xr:uid="{5F19596B-5EC1-4681-98A9-E90ACE8DFEC2}"/>
    <hyperlink ref="D20" r:id="rId19" display="javascript:sym('05407')" xr:uid="{B0D0A369-64EE-4B9C-8F2E-E59E062798DE}"/>
    <hyperlink ref="D21" r:id="rId20" display="javascript:sym('05398')" xr:uid="{C2017BEF-72B5-4130-8AFA-D6917ED33E63}"/>
    <hyperlink ref="D22" r:id="rId21" display="javascript:sym('05376')" xr:uid="{1897F5E1-C15B-4E51-BE79-47B7116E4535}"/>
    <hyperlink ref="D23" r:id="rId22" display="javascript:sym('05402')" xr:uid="{7E807104-9B05-4A60-890E-D032F9991C4B}"/>
    <hyperlink ref="D24" r:id="rId23" display="javascript:sym('05378')" xr:uid="{6A74606D-E27C-4BE1-AC0E-F7F06A522684}"/>
    <hyperlink ref="D25" r:id="rId24" display="javascript:sym('05197')" xr:uid="{25967382-CF28-45C5-BDFC-807A3BDF4E1F}"/>
    <hyperlink ref="D26" r:id="rId25" display="javascript:sym('05198')" xr:uid="{AC1AA4E6-DF2F-4FEB-AE3D-84D738B8E34A}"/>
    <hyperlink ref="D27" r:id="rId26" display="javascript:sym('05379')" xr:uid="{A3395446-2F22-4A35-A1AA-7A60763D3F78}"/>
    <hyperlink ref="D28" r:id="rId27" display="javascript:sym('05375')" xr:uid="{354E7D86-E8A2-40B5-AFF3-20AC85AC726A}"/>
    <hyperlink ref="D29" r:id="rId28" display="javascript:sym('05383')" xr:uid="{2651ACF0-16DC-40AD-B016-9A9CE1F13016}"/>
    <hyperlink ref="D30" r:id="rId29" display="javascript:sym('05399')" xr:uid="{39EEF4CA-0143-483B-9948-29C0A7EFE42E}"/>
    <hyperlink ref="D31" r:id="rId30" display="javascript:sym('05192')" xr:uid="{284E8BD9-38DF-4013-939F-5487B910DE89}"/>
    <hyperlink ref="D32" r:id="rId31" display="javascript:sym('05381')" xr:uid="{A3936B4A-DCD3-431E-ACF4-3C70B2FBF233}"/>
    <hyperlink ref="D33" r:id="rId32" display="javascript:sym('05187')" xr:uid="{F6FD060C-74B1-410E-8F59-362886A873D3}"/>
    <hyperlink ref="D34" r:id="rId33" display="javascript:sym('05377')" xr:uid="{5C201137-7135-4EE1-AA76-FFA870445204}"/>
    <hyperlink ref="D35" r:id="rId34" display="javascript:sym('05374')" xr:uid="{707AD176-2375-44F6-AC7B-15D73DA936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sudhams reddy</dc:creator>
  <cp:lastModifiedBy>sudhams reddy</cp:lastModifiedBy>
  <dcterms:created xsi:type="dcterms:W3CDTF">2026-05-14T04:10:29Z</dcterms:created>
  <dcterms:modified xsi:type="dcterms:W3CDTF">2026-05-14T06:16:54Z</dcterms:modified>
</cp:coreProperties>
</file>