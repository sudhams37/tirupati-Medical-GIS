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8_{F22F8BFF-39C2-4249-B20B-B7203301D5E5}" xr6:coauthVersionLast="47" xr6:coauthVersionMax="47" xr10:uidLastSave="{00000000-0000-0000-0000-000000000000}"/>
  <bookViews>
    <workbookView xWindow="-110" yWindow="-110" windowWidth="19420" windowHeight="11020" xr2:uid="{3ED2AAE0-F886-40F1-BA54-2A9AC6E7E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</calcChain>
</file>

<file path=xl/sharedStrings.xml><?xml version="1.0" encoding="utf-8"?>
<sst xmlns="http://schemas.openxmlformats.org/spreadsheetml/2006/main" count="114" uniqueCount="48">
  <si>
    <t>S.no</t>
  </si>
  <si>
    <t>disease</t>
  </si>
  <si>
    <t xml:space="preserve">district </t>
  </si>
  <si>
    <t>mandal</t>
  </si>
  <si>
    <t>population</t>
  </si>
  <si>
    <t>total no of cases</t>
  </si>
  <si>
    <t>confirmed cases</t>
  </si>
  <si>
    <t>recovered cases</t>
  </si>
  <si>
    <t>death cases</t>
  </si>
  <si>
    <t>incidence_ratio</t>
  </si>
  <si>
    <t>recovery_ratio</t>
  </si>
  <si>
    <t>death_ratio</t>
  </si>
  <si>
    <t>Dengue</t>
  </si>
  <si>
    <t>tirupati</t>
  </si>
  <si>
    <t>Balayapalle</t>
  </si>
  <si>
    <t>Buchinaidu Kandriga</t>
  </si>
  <si>
    <t>Chandragiri</t>
  </si>
  <si>
    <t>Chillakur</t>
  </si>
  <si>
    <t>Chinnagottigallu</t>
  </si>
  <si>
    <t>Chittamur</t>
  </si>
  <si>
    <t>Dakkili</t>
  </si>
  <si>
    <t>Doravarisatram</t>
  </si>
  <si>
    <t>Gudur</t>
  </si>
  <si>
    <t>Kota</t>
  </si>
  <si>
    <t>K. V. B. Puram</t>
  </si>
  <si>
    <t>Nagalapuram</t>
  </si>
  <si>
    <t>Naidupet</t>
  </si>
  <si>
    <t>Narayanavanam</t>
  </si>
  <si>
    <t>Ojili</t>
  </si>
  <si>
    <t>Pakala</t>
  </si>
  <si>
    <t>Pellakur</t>
  </si>
  <si>
    <t>Pichatur</t>
  </si>
  <si>
    <t>Puttur</t>
  </si>
  <si>
    <t>Ramachandrapuram</t>
  </si>
  <si>
    <t>Renigunta</t>
  </si>
  <si>
    <t>Satyavedu</t>
  </si>
  <si>
    <t>Srikalahasti</t>
  </si>
  <si>
    <t>Sullurpeta</t>
  </si>
  <si>
    <t>Tada</t>
  </si>
  <si>
    <t>Thottambedu</t>
  </si>
  <si>
    <t>Tirupati Rural</t>
  </si>
  <si>
    <t>Tirupati Urban</t>
  </si>
  <si>
    <t>Vadamalapeta</t>
  </si>
  <si>
    <t>Vakadu</t>
  </si>
  <si>
    <t>Varadaiahpalem</t>
  </si>
  <si>
    <t>Venkatagiri</t>
  </si>
  <si>
    <t>Yerpedu</t>
  </si>
  <si>
    <t>Yerravaripalem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</si>
</sst>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0" fontId="2" fillId="3" borderId="1" xfId="1" applyFont="1" applyFill="1" applyBorder="1" applyAlignment="1">
      <alignment horizontal="left" vertical="top"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sym('05194')" TargetMode="External"/><Relationship Id="rId18" Type="http://schemas.openxmlformats.org/officeDocument/2006/relationships/hyperlink" Target="javascript:sym('05401')" TargetMode="External"/><Relationship Id="rId26" Type="http://schemas.openxmlformats.org/officeDocument/2006/relationships/hyperlink" Target="javascript:sym('05379')" TargetMode="External"/><Relationship Id="rId3" Type="http://schemas.openxmlformats.org/officeDocument/2006/relationships/hyperlink" Target="javascript:sym('05384')" TargetMode="External"/><Relationship Id="rId21" Type="http://schemas.openxmlformats.org/officeDocument/2006/relationships/hyperlink" Target="javascript:sym('05376')" TargetMode="External"/><Relationship Id="rId34" Type="http://schemas.openxmlformats.org/officeDocument/2006/relationships/hyperlink" Target="javascript:sym('05374')" TargetMode="External"/><Relationship Id="rId7" Type="http://schemas.openxmlformats.org/officeDocument/2006/relationships/hyperlink" Target="javascript:sym('05186')" TargetMode="External"/><Relationship Id="rId12" Type="http://schemas.openxmlformats.org/officeDocument/2006/relationships/hyperlink" Target="javascript:sym('05403')" TargetMode="External"/><Relationship Id="rId17" Type="http://schemas.openxmlformats.org/officeDocument/2006/relationships/hyperlink" Target="javascript:sym('05195')" TargetMode="External"/><Relationship Id="rId25" Type="http://schemas.openxmlformats.org/officeDocument/2006/relationships/hyperlink" Target="javascript:sym('05198')" TargetMode="External"/><Relationship Id="rId33" Type="http://schemas.openxmlformats.org/officeDocument/2006/relationships/hyperlink" Target="javascript:sym('05377')" TargetMode="External"/><Relationship Id="rId2" Type="http://schemas.openxmlformats.org/officeDocument/2006/relationships/hyperlink" Target="javascript:sym('05380')" TargetMode="External"/><Relationship Id="rId16" Type="http://schemas.openxmlformats.org/officeDocument/2006/relationships/hyperlink" Target="javascript:sym('05396')" TargetMode="External"/><Relationship Id="rId20" Type="http://schemas.openxmlformats.org/officeDocument/2006/relationships/hyperlink" Target="javascript:sym('05398')" TargetMode="External"/><Relationship Id="rId29" Type="http://schemas.openxmlformats.org/officeDocument/2006/relationships/hyperlink" Target="javascript:sym('05399')" TargetMode="External"/><Relationship Id="rId1" Type="http://schemas.openxmlformats.org/officeDocument/2006/relationships/hyperlink" Target="javascript:sym('05188')" TargetMode="External"/><Relationship Id="rId6" Type="http://schemas.openxmlformats.org/officeDocument/2006/relationships/hyperlink" Target="javascript:sym('05193')" TargetMode="External"/><Relationship Id="rId11" Type="http://schemas.openxmlformats.org/officeDocument/2006/relationships/hyperlink" Target="javascript:sym('05382')" TargetMode="External"/><Relationship Id="rId24" Type="http://schemas.openxmlformats.org/officeDocument/2006/relationships/hyperlink" Target="javascript:sym('05197')" TargetMode="External"/><Relationship Id="rId32" Type="http://schemas.openxmlformats.org/officeDocument/2006/relationships/hyperlink" Target="javascript:sym('05187')" TargetMode="External"/><Relationship Id="rId5" Type="http://schemas.openxmlformats.org/officeDocument/2006/relationships/hyperlink" Target="javascript:sym('05385')" TargetMode="External"/><Relationship Id="rId15" Type="http://schemas.openxmlformats.org/officeDocument/2006/relationships/hyperlink" Target="javascript:sym('05189')" TargetMode="External"/><Relationship Id="rId23" Type="http://schemas.openxmlformats.org/officeDocument/2006/relationships/hyperlink" Target="javascript:sym('05378')" TargetMode="External"/><Relationship Id="rId28" Type="http://schemas.openxmlformats.org/officeDocument/2006/relationships/hyperlink" Target="javascript:sym('05383')" TargetMode="External"/><Relationship Id="rId10" Type="http://schemas.openxmlformats.org/officeDocument/2006/relationships/hyperlink" Target="javascript:sym('05191')" TargetMode="External"/><Relationship Id="rId19" Type="http://schemas.openxmlformats.org/officeDocument/2006/relationships/hyperlink" Target="javascript:sym('05407')" TargetMode="External"/><Relationship Id="rId31" Type="http://schemas.openxmlformats.org/officeDocument/2006/relationships/hyperlink" Target="javascript:sym('05381')" TargetMode="External"/><Relationship Id="rId4" Type="http://schemas.openxmlformats.org/officeDocument/2006/relationships/hyperlink" Target="javascript:sym('05190')" TargetMode="External"/><Relationship Id="rId9" Type="http://schemas.openxmlformats.org/officeDocument/2006/relationships/hyperlink" Target="javascript:sym('05184')" TargetMode="External"/><Relationship Id="rId14" Type="http://schemas.openxmlformats.org/officeDocument/2006/relationships/hyperlink" Target="javascript:sym('05400')" TargetMode="External"/><Relationship Id="rId22" Type="http://schemas.openxmlformats.org/officeDocument/2006/relationships/hyperlink" Target="javascript:sym('05402')" TargetMode="External"/><Relationship Id="rId27" Type="http://schemas.openxmlformats.org/officeDocument/2006/relationships/hyperlink" Target="javascript:sym('05375')" TargetMode="External"/><Relationship Id="rId30" Type="http://schemas.openxmlformats.org/officeDocument/2006/relationships/hyperlink" Target="javascript:sym('05192')" TargetMode="External"/><Relationship Id="rId8" Type="http://schemas.openxmlformats.org/officeDocument/2006/relationships/hyperlink" Target="javascript:sym('0519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C70A-D96C-48B5-850C-258F2D9BC17C}">
  <dimension ref="A1:L35"/>
  <sheetViews>
    <sheetView tabSelected="1" workbookViewId="0">
      <selection activeCell="B36" sqref="B36"/>
    </sheetView>
  </sheetViews>
  <sheetFormatPr defaultRowHeight="14.5" x14ac:dyDescent="0.35"/>
  <cols>
    <col min="4" max="4" width="22.1796875" customWidth="1"/>
    <col min="5" max="5" width="9.90625" bestFit="1" customWidth="1"/>
    <col min="6" max="6" width="14.453125" bestFit="1" customWidth="1"/>
    <col min="7" max="7" width="14.36328125" bestFit="1" customWidth="1"/>
    <col min="8" max="8" width="14.1796875" bestFit="1" customWidth="1"/>
    <col min="9" max="9" width="10.54296875" bestFit="1" customWidth="1"/>
    <col min="10" max="10" width="13.6328125" bestFit="1" customWidth="1"/>
    <col min="11" max="11" width="13" bestFit="1" customWidth="1"/>
    <col min="12" max="12" width="10.54296875" bestFit="1" customWidth="1"/>
  </cols>
  <sheetData>
    <row r="1" spans="1:12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9.5" thickBot="1" x14ac:dyDescent="0.4">
      <c r="A2">
        <v>1</v>
      </c>
      <c r="B2" t="s">
        <v>12</v>
      </c>
      <c r="C2" t="s">
        <v>13</v>
      </c>
      <c r="D2" s="1" t="s">
        <v>14</v>
      </c>
      <c r="E2" s="2">
        <v>33864</v>
      </c>
      <c r="F2">
        <v>2397</v>
      </c>
      <c r="G2">
        <v>2107</v>
      </c>
      <c r="H2">
        <f>(G2-I2)</f>
        <v>2098</v>
      </c>
      <c r="I2">
        <v>9</v>
      </c>
      <c r="J2" s="4">
        <f>(G2/E2)*100</f>
        <v>6.2219466099692884</v>
      </c>
      <c r="K2" s="4">
        <f>(H2/G2)*100</f>
        <v>99.57285239677266</v>
      </c>
      <c r="L2" s="4">
        <f>(I2/G2)*1000</f>
        <v>4.2714760322733749</v>
      </c>
    </row>
    <row r="3" spans="1:12" ht="58.5" thickBot="1" x14ac:dyDescent="0.4">
      <c r="A3">
        <v>2</v>
      </c>
      <c r="B3" t="s">
        <v>12</v>
      </c>
      <c r="C3" t="s">
        <v>13</v>
      </c>
      <c r="D3" s="1" t="s">
        <v>15</v>
      </c>
      <c r="E3" s="2">
        <v>34261</v>
      </c>
      <c r="F3">
        <v>2210</v>
      </c>
      <c r="G3">
        <v>1903</v>
      </c>
      <c r="H3">
        <f t="shared" ref="H3:H35" si="0">(G3-I3)</f>
        <v>1900</v>
      </c>
      <c r="I3">
        <v>3</v>
      </c>
      <c r="J3" s="4">
        <f t="shared" ref="J3:J35" si="1">(G3/E3)*100</f>
        <v>5.5544204780946265</v>
      </c>
      <c r="K3" s="4">
        <f t="shared" ref="K3:K35" si="2">(H3/G3)*100</f>
        <v>99.842354177614283</v>
      </c>
      <c r="L3" s="4">
        <f t="shared" ref="L3:L35" si="3">(I3/G3)*1000</f>
        <v>1.5764582238570679</v>
      </c>
    </row>
    <row r="4" spans="1:12" ht="29.5" thickBot="1" x14ac:dyDescent="0.4">
      <c r="A4">
        <v>3</v>
      </c>
      <c r="B4" t="s">
        <v>12</v>
      </c>
      <c r="C4" t="s">
        <v>13</v>
      </c>
      <c r="D4" s="1" t="s">
        <v>16</v>
      </c>
      <c r="E4" s="2">
        <v>57286</v>
      </c>
      <c r="F4">
        <v>1908</v>
      </c>
      <c r="G4">
        <v>1704</v>
      </c>
      <c r="H4">
        <f t="shared" si="0"/>
        <v>1698</v>
      </c>
      <c r="I4">
        <v>6</v>
      </c>
      <c r="J4" s="4">
        <f t="shared" si="1"/>
        <v>2.9745487553678034</v>
      </c>
      <c r="K4" s="4">
        <f t="shared" si="2"/>
        <v>99.647887323943664</v>
      </c>
      <c r="L4" s="4">
        <f t="shared" si="3"/>
        <v>3.5211267605633805</v>
      </c>
    </row>
    <row r="5" spans="1:12" ht="29.5" thickBot="1" x14ac:dyDescent="0.4">
      <c r="A5">
        <v>4</v>
      </c>
      <c r="B5" t="s">
        <v>12</v>
      </c>
      <c r="C5" t="s">
        <v>13</v>
      </c>
      <c r="D5" s="1" t="s">
        <v>17</v>
      </c>
      <c r="E5" s="2">
        <v>53138</v>
      </c>
      <c r="F5">
        <v>1804</v>
      </c>
      <c r="G5">
        <v>1703</v>
      </c>
      <c r="H5">
        <f t="shared" si="0"/>
        <v>1699</v>
      </c>
      <c r="I5">
        <v>4</v>
      </c>
      <c r="J5" s="4">
        <f t="shared" si="1"/>
        <v>3.204862810041778</v>
      </c>
      <c r="K5" s="4">
        <f t="shared" si="2"/>
        <v>99.765120375807399</v>
      </c>
      <c r="L5" s="4">
        <f t="shared" si="3"/>
        <v>2.3487962419260127</v>
      </c>
    </row>
    <row r="6" spans="1:12" ht="44" thickBot="1" x14ac:dyDescent="0.4">
      <c r="A6">
        <v>5</v>
      </c>
      <c r="B6" t="s">
        <v>12</v>
      </c>
      <c r="C6" t="s">
        <v>13</v>
      </c>
      <c r="D6" s="1" t="s">
        <v>18</v>
      </c>
      <c r="E6" s="2">
        <v>26150</v>
      </c>
      <c r="F6">
        <v>2803</v>
      </c>
      <c r="G6">
        <v>2206</v>
      </c>
      <c r="H6">
        <f t="shared" si="0"/>
        <v>2204</v>
      </c>
      <c r="I6">
        <v>2</v>
      </c>
      <c r="J6" s="4">
        <f t="shared" si="1"/>
        <v>8.4359464627151048</v>
      </c>
      <c r="K6" s="4">
        <f t="shared" si="2"/>
        <v>99.909338168630995</v>
      </c>
      <c r="L6" s="4">
        <f t="shared" si="3"/>
        <v>0.90661831368993651</v>
      </c>
    </row>
    <row r="7" spans="1:12" ht="29.5" thickBot="1" x14ac:dyDescent="0.4">
      <c r="A7">
        <v>6</v>
      </c>
      <c r="B7" t="s">
        <v>12</v>
      </c>
      <c r="C7" t="s">
        <v>13</v>
      </c>
      <c r="D7" s="1" t="s">
        <v>19</v>
      </c>
      <c r="E7" s="2">
        <v>40241</v>
      </c>
      <c r="F7">
        <v>3302</v>
      </c>
      <c r="G7">
        <v>2701</v>
      </c>
      <c r="H7">
        <f t="shared" si="0"/>
        <v>2696</v>
      </c>
      <c r="I7">
        <v>5</v>
      </c>
      <c r="J7" s="4">
        <f t="shared" si="1"/>
        <v>6.7120598394672104</v>
      </c>
      <c r="K7" s="4">
        <f t="shared" si="2"/>
        <v>99.814883376527206</v>
      </c>
      <c r="L7" s="4">
        <f t="shared" si="3"/>
        <v>1.8511662347278786</v>
      </c>
    </row>
    <row r="8" spans="1:12" ht="15" thickBot="1" x14ac:dyDescent="0.4">
      <c r="A8">
        <v>7</v>
      </c>
      <c r="B8" t="s">
        <v>12</v>
      </c>
      <c r="C8" t="s">
        <v>13</v>
      </c>
      <c r="D8" s="1" t="s">
        <v>20</v>
      </c>
      <c r="E8" s="2">
        <v>40452</v>
      </c>
      <c r="F8">
        <v>2604</v>
      </c>
      <c r="G8">
        <v>2447</v>
      </c>
      <c r="H8">
        <f t="shared" si="0"/>
        <v>2441</v>
      </c>
      <c r="I8">
        <v>6</v>
      </c>
      <c r="J8" s="4">
        <f t="shared" si="1"/>
        <v>6.0491446652823102</v>
      </c>
      <c r="K8" s="4">
        <f t="shared" si="2"/>
        <v>99.754801798120155</v>
      </c>
      <c r="L8" s="4">
        <f t="shared" si="3"/>
        <v>2.4519820187985286</v>
      </c>
    </row>
    <row r="9" spans="1:12" ht="44" thickBot="1" x14ac:dyDescent="0.4">
      <c r="A9">
        <v>8</v>
      </c>
      <c r="B9" t="s">
        <v>12</v>
      </c>
      <c r="C9" t="s">
        <v>13</v>
      </c>
      <c r="D9" s="1" t="s">
        <v>21</v>
      </c>
      <c r="E9" s="2">
        <v>35971</v>
      </c>
      <c r="F9">
        <v>3690</v>
      </c>
      <c r="G9">
        <v>3022</v>
      </c>
      <c r="H9">
        <f t="shared" si="0"/>
        <v>3013</v>
      </c>
      <c r="I9">
        <v>9</v>
      </c>
      <c r="J9" s="4">
        <f t="shared" si="1"/>
        <v>8.4012120875149421</v>
      </c>
      <c r="K9" s="4">
        <f t="shared" si="2"/>
        <v>99.702183984116473</v>
      </c>
      <c r="L9" s="4">
        <f t="shared" si="3"/>
        <v>2.9781601588352085</v>
      </c>
    </row>
    <row r="10" spans="1:12" ht="15" thickBot="1" x14ac:dyDescent="0.4">
      <c r="A10">
        <v>9</v>
      </c>
      <c r="B10" t="s">
        <v>12</v>
      </c>
      <c r="C10" t="s">
        <v>13</v>
      </c>
      <c r="D10" s="1" t="s">
        <v>22</v>
      </c>
      <c r="E10" s="2">
        <v>116330</v>
      </c>
      <c r="F10">
        <v>4303</v>
      </c>
      <c r="G10">
        <v>3822</v>
      </c>
      <c r="H10">
        <f t="shared" si="0"/>
        <v>3818</v>
      </c>
      <c r="I10">
        <v>4</v>
      </c>
      <c r="J10" s="4">
        <f t="shared" si="1"/>
        <v>3.2854809593398091</v>
      </c>
      <c r="K10" s="4">
        <f t="shared" si="2"/>
        <v>99.895342752485604</v>
      </c>
      <c r="L10" s="4">
        <f t="shared" si="3"/>
        <v>1.0465724751439038</v>
      </c>
    </row>
    <row r="11" spans="1:12" ht="15" thickBot="1" x14ac:dyDescent="0.4">
      <c r="A11">
        <v>10</v>
      </c>
      <c r="B11" t="s">
        <v>12</v>
      </c>
      <c r="C11" t="s">
        <v>13</v>
      </c>
      <c r="D11" s="1" t="s">
        <v>23</v>
      </c>
      <c r="E11" s="2">
        <v>55226</v>
      </c>
      <c r="F11">
        <v>2901</v>
      </c>
      <c r="G11">
        <v>2244</v>
      </c>
      <c r="H11">
        <f t="shared" si="0"/>
        <v>2236</v>
      </c>
      <c r="I11">
        <v>8</v>
      </c>
      <c r="J11" s="4">
        <f t="shared" si="1"/>
        <v>4.0633035164596381</v>
      </c>
      <c r="K11" s="4">
        <f t="shared" si="2"/>
        <v>99.643493761140817</v>
      </c>
      <c r="L11" s="4">
        <f t="shared" si="3"/>
        <v>3.5650623885918002</v>
      </c>
    </row>
    <row r="12" spans="1:12" ht="15" thickBot="1" x14ac:dyDescent="0.4">
      <c r="A12">
        <v>11</v>
      </c>
      <c r="B12" t="s">
        <v>12</v>
      </c>
      <c r="C12" t="s">
        <v>13</v>
      </c>
      <c r="D12" s="1" t="s">
        <v>24</v>
      </c>
      <c r="E12" s="2">
        <v>42111</v>
      </c>
      <c r="F12">
        <v>2844</v>
      </c>
      <c r="G12">
        <v>2677</v>
      </c>
      <c r="H12">
        <f t="shared" si="0"/>
        <v>2674</v>
      </c>
      <c r="I12">
        <v>3</v>
      </c>
      <c r="J12" s="4">
        <f t="shared" si="1"/>
        <v>6.3570088575431605</v>
      </c>
      <c r="K12" s="4">
        <f t="shared" si="2"/>
        <v>99.887934254762783</v>
      </c>
      <c r="L12" s="4">
        <f t="shared" si="3"/>
        <v>1.1206574523720583</v>
      </c>
    </row>
    <row r="13" spans="1:12" ht="15" thickBot="1" x14ac:dyDescent="0.4">
      <c r="A13">
        <v>12</v>
      </c>
      <c r="B13" t="s">
        <v>12</v>
      </c>
      <c r="C13" t="s">
        <v>13</v>
      </c>
      <c r="D13" s="1" t="s">
        <v>25</v>
      </c>
      <c r="E13" s="2">
        <v>34026</v>
      </c>
      <c r="F13">
        <v>4433</v>
      </c>
      <c r="G13">
        <v>3288</v>
      </c>
      <c r="H13">
        <f t="shared" si="0"/>
        <v>3283</v>
      </c>
      <c r="I13">
        <v>5</v>
      </c>
      <c r="J13" s="4">
        <f t="shared" si="1"/>
        <v>9.6631987303826481</v>
      </c>
      <c r="K13" s="4">
        <f t="shared" si="2"/>
        <v>99.847931873479325</v>
      </c>
      <c r="L13" s="4">
        <f t="shared" si="3"/>
        <v>1.5206812652068127</v>
      </c>
    </row>
    <row r="14" spans="1:12" ht="15" thickBot="1" x14ac:dyDescent="0.4">
      <c r="A14">
        <v>13</v>
      </c>
      <c r="B14" t="s">
        <v>12</v>
      </c>
      <c r="C14" t="s">
        <v>13</v>
      </c>
      <c r="D14" s="1" t="s">
        <v>26</v>
      </c>
      <c r="E14" s="2">
        <v>79648</v>
      </c>
      <c r="F14">
        <v>2288</v>
      </c>
      <c r="G14">
        <v>1889</v>
      </c>
      <c r="H14">
        <f t="shared" si="0"/>
        <v>1882</v>
      </c>
      <c r="I14">
        <v>7</v>
      </c>
      <c r="J14" s="4">
        <f t="shared" si="1"/>
        <v>2.3716854158296505</v>
      </c>
      <c r="K14" s="4">
        <f t="shared" si="2"/>
        <v>99.629433562731606</v>
      </c>
      <c r="L14" s="4">
        <f t="shared" si="3"/>
        <v>3.7056643726839598</v>
      </c>
    </row>
    <row r="15" spans="1:12" ht="15" thickBot="1" x14ac:dyDescent="0.4">
      <c r="A15">
        <v>14</v>
      </c>
      <c r="B15" t="s">
        <v>12</v>
      </c>
      <c r="C15" t="s">
        <v>13</v>
      </c>
      <c r="D15" s="1" t="s">
        <v>27</v>
      </c>
      <c r="E15" s="2">
        <v>37041</v>
      </c>
      <c r="F15">
        <v>1990</v>
      </c>
      <c r="G15">
        <v>1703</v>
      </c>
      <c r="H15">
        <f t="shared" si="0"/>
        <v>1694</v>
      </c>
      <c r="I15">
        <v>9</v>
      </c>
      <c r="J15" s="4">
        <f t="shared" si="1"/>
        <v>4.5976080559380152</v>
      </c>
      <c r="K15" s="4">
        <f t="shared" si="2"/>
        <v>99.471520845566658</v>
      </c>
      <c r="L15" s="4">
        <f t="shared" si="3"/>
        <v>5.2847915443335296</v>
      </c>
    </row>
    <row r="16" spans="1:12" ht="15" thickBot="1" x14ac:dyDescent="0.4">
      <c r="A16">
        <v>15</v>
      </c>
      <c r="B16" t="s">
        <v>12</v>
      </c>
      <c r="C16" t="s">
        <v>13</v>
      </c>
      <c r="D16" s="1" t="s">
        <v>28</v>
      </c>
      <c r="E16" s="2">
        <v>34528</v>
      </c>
      <c r="F16">
        <v>1693</v>
      </c>
      <c r="G16">
        <v>1500</v>
      </c>
      <c r="H16">
        <f t="shared" si="0"/>
        <v>1494</v>
      </c>
      <c r="I16">
        <v>6</v>
      </c>
      <c r="J16" s="4">
        <f t="shared" si="1"/>
        <v>4.3443002780352185</v>
      </c>
      <c r="K16" s="4">
        <f t="shared" si="2"/>
        <v>99.6</v>
      </c>
      <c r="L16" s="4">
        <f t="shared" si="3"/>
        <v>4</v>
      </c>
    </row>
    <row r="17" spans="1:12" ht="15" thickBot="1" x14ac:dyDescent="0.4">
      <c r="A17">
        <v>16</v>
      </c>
      <c r="B17" t="s">
        <v>12</v>
      </c>
      <c r="C17" t="s">
        <v>13</v>
      </c>
      <c r="D17" s="1" t="s">
        <v>29</v>
      </c>
      <c r="E17" s="2">
        <v>56667</v>
      </c>
      <c r="F17">
        <v>3421</v>
      </c>
      <c r="G17">
        <v>3011</v>
      </c>
      <c r="H17">
        <f t="shared" si="0"/>
        <v>3009</v>
      </c>
      <c r="I17">
        <v>2</v>
      </c>
      <c r="J17" s="4">
        <f t="shared" si="1"/>
        <v>5.3134981558932006</v>
      </c>
      <c r="K17" s="4">
        <f t="shared" si="2"/>
        <v>99.933576884755894</v>
      </c>
      <c r="L17" s="4">
        <f t="shared" si="3"/>
        <v>0.66423115244104947</v>
      </c>
    </row>
    <row r="18" spans="1:12" ht="15" thickBot="1" x14ac:dyDescent="0.4">
      <c r="A18">
        <v>17</v>
      </c>
      <c r="B18" t="s">
        <v>12</v>
      </c>
      <c r="C18" t="s">
        <v>13</v>
      </c>
      <c r="D18" s="1" t="s">
        <v>30</v>
      </c>
      <c r="E18" s="2">
        <v>34455</v>
      </c>
      <c r="F18">
        <v>3300</v>
      </c>
      <c r="G18">
        <v>3199</v>
      </c>
      <c r="H18">
        <f t="shared" si="0"/>
        <v>3198</v>
      </c>
      <c r="I18">
        <v>1</v>
      </c>
      <c r="J18" s="4">
        <f t="shared" si="1"/>
        <v>9.2845740821361193</v>
      </c>
      <c r="K18" s="4">
        <f t="shared" si="2"/>
        <v>99.968740231322286</v>
      </c>
      <c r="L18" s="4">
        <f t="shared" si="3"/>
        <v>0.31259768677711786</v>
      </c>
    </row>
    <row r="19" spans="1:12" ht="15" thickBot="1" x14ac:dyDescent="0.4">
      <c r="A19">
        <v>18</v>
      </c>
      <c r="B19" t="s">
        <v>12</v>
      </c>
      <c r="C19" t="s">
        <v>13</v>
      </c>
      <c r="D19" s="1" t="s">
        <v>31</v>
      </c>
      <c r="E19" s="2">
        <v>31524</v>
      </c>
      <c r="F19">
        <v>4339</v>
      </c>
      <c r="G19">
        <v>4193</v>
      </c>
      <c r="H19">
        <f t="shared" si="0"/>
        <v>4187</v>
      </c>
      <c r="I19">
        <v>6</v>
      </c>
      <c r="J19" s="4">
        <f t="shared" si="1"/>
        <v>13.300977033371399</v>
      </c>
      <c r="K19" s="4">
        <f t="shared" si="2"/>
        <v>99.856904364416891</v>
      </c>
      <c r="L19" s="4">
        <f t="shared" si="3"/>
        <v>1.4309563558311473</v>
      </c>
    </row>
    <row r="20" spans="1:12" ht="15" thickBot="1" x14ac:dyDescent="0.4">
      <c r="A20">
        <v>19</v>
      </c>
      <c r="B20" t="s">
        <v>12</v>
      </c>
      <c r="C20" t="s">
        <v>13</v>
      </c>
      <c r="D20" s="1" t="s">
        <v>32</v>
      </c>
      <c r="E20" s="2">
        <v>79166</v>
      </c>
      <c r="F20">
        <v>2011</v>
      </c>
      <c r="G20">
        <v>1899</v>
      </c>
      <c r="H20">
        <f t="shared" si="0"/>
        <v>1892</v>
      </c>
      <c r="I20">
        <v>7</v>
      </c>
      <c r="J20" s="4">
        <f t="shared" si="1"/>
        <v>2.3987570421645654</v>
      </c>
      <c r="K20" s="4">
        <f t="shared" si="2"/>
        <v>99.631384939441816</v>
      </c>
      <c r="L20" s="4">
        <f t="shared" si="3"/>
        <v>3.6861506055818851</v>
      </c>
    </row>
    <row r="21" spans="1:12" ht="15" thickBot="1" x14ac:dyDescent="0.4">
      <c r="A21">
        <v>20</v>
      </c>
      <c r="B21" t="s">
        <v>12</v>
      </c>
      <c r="C21" t="s">
        <v>13</v>
      </c>
      <c r="D21" s="1" t="s">
        <v>33</v>
      </c>
      <c r="E21" s="2">
        <v>31373</v>
      </c>
      <c r="F21">
        <v>2804</v>
      </c>
      <c r="G21">
        <v>2688</v>
      </c>
      <c r="H21">
        <f t="shared" si="0"/>
        <v>2685</v>
      </c>
      <c r="I21">
        <v>3</v>
      </c>
      <c r="J21" s="4">
        <f t="shared" si="1"/>
        <v>8.5678768367704716</v>
      </c>
      <c r="K21" s="4">
        <f t="shared" si="2"/>
        <v>99.888392857142861</v>
      </c>
      <c r="L21" s="4">
        <f t="shared" si="3"/>
        <v>1.1160714285714286</v>
      </c>
    </row>
    <row r="22" spans="1:12" ht="15" thickBot="1" x14ac:dyDescent="0.4">
      <c r="A22">
        <v>21</v>
      </c>
      <c r="B22" t="s">
        <v>12</v>
      </c>
      <c r="C22" t="s">
        <v>13</v>
      </c>
      <c r="D22" s="1" t="s">
        <v>34</v>
      </c>
      <c r="E22" s="2">
        <v>75789</v>
      </c>
      <c r="F22">
        <v>2066</v>
      </c>
      <c r="G22">
        <v>1744</v>
      </c>
      <c r="H22">
        <f t="shared" si="0"/>
        <v>1740</v>
      </c>
      <c r="I22">
        <v>4</v>
      </c>
      <c r="J22" s="4">
        <f t="shared" si="1"/>
        <v>2.3011254931454435</v>
      </c>
      <c r="K22" s="4">
        <f t="shared" si="2"/>
        <v>99.77064220183486</v>
      </c>
      <c r="L22" s="4">
        <f t="shared" si="3"/>
        <v>2.2935779816513762</v>
      </c>
    </row>
    <row r="23" spans="1:12" ht="15" thickBot="1" x14ac:dyDescent="0.4">
      <c r="A23">
        <v>22</v>
      </c>
      <c r="B23" t="s">
        <v>12</v>
      </c>
      <c r="C23" t="s">
        <v>13</v>
      </c>
      <c r="D23" s="1" t="s">
        <v>35</v>
      </c>
      <c r="E23" s="2">
        <v>52979</v>
      </c>
      <c r="F23">
        <v>3399</v>
      </c>
      <c r="G23">
        <v>2977</v>
      </c>
      <c r="H23">
        <f t="shared" si="0"/>
        <v>2972</v>
      </c>
      <c r="I23">
        <v>5</v>
      </c>
      <c r="J23" s="4">
        <f t="shared" si="1"/>
        <v>5.6192076105626754</v>
      </c>
      <c r="K23" s="4">
        <f t="shared" si="2"/>
        <v>99.832045683574066</v>
      </c>
      <c r="L23" s="4">
        <f t="shared" si="3"/>
        <v>1.6795431642593215</v>
      </c>
    </row>
    <row r="24" spans="1:12" ht="15" thickBot="1" x14ac:dyDescent="0.4">
      <c r="A24">
        <v>23</v>
      </c>
      <c r="B24" t="s">
        <v>12</v>
      </c>
      <c r="C24" t="s">
        <v>13</v>
      </c>
      <c r="D24" s="1" t="s">
        <v>36</v>
      </c>
      <c r="E24" s="2">
        <v>137637</v>
      </c>
      <c r="F24">
        <v>4221</v>
      </c>
      <c r="G24">
        <v>3802</v>
      </c>
      <c r="H24">
        <f t="shared" si="0"/>
        <v>3793</v>
      </c>
      <c r="I24">
        <v>9</v>
      </c>
      <c r="J24" s="4">
        <f t="shared" si="1"/>
        <v>2.7623386153432579</v>
      </c>
      <c r="K24" s="4">
        <f t="shared" si="2"/>
        <v>99.763282482903733</v>
      </c>
      <c r="L24" s="4">
        <f t="shared" si="3"/>
        <v>2.3671751709626512</v>
      </c>
    </row>
    <row r="25" spans="1:12" ht="15" thickBot="1" x14ac:dyDescent="0.4">
      <c r="A25">
        <v>24</v>
      </c>
      <c r="B25" t="s">
        <v>12</v>
      </c>
      <c r="C25" t="s">
        <v>13</v>
      </c>
      <c r="D25" s="1" t="s">
        <v>37</v>
      </c>
      <c r="E25" s="2">
        <v>83760</v>
      </c>
      <c r="F25">
        <v>3996</v>
      </c>
      <c r="G25">
        <v>3672</v>
      </c>
      <c r="H25">
        <f t="shared" si="0"/>
        <v>3670</v>
      </c>
      <c r="I25">
        <v>2</v>
      </c>
      <c r="J25" s="4">
        <f t="shared" si="1"/>
        <v>4.3839541547277934</v>
      </c>
      <c r="K25" s="4">
        <f t="shared" si="2"/>
        <v>99.945533769063175</v>
      </c>
      <c r="L25" s="4">
        <f t="shared" si="3"/>
        <v>0.54466230936819182</v>
      </c>
    </row>
    <row r="26" spans="1:12" ht="15" thickBot="1" x14ac:dyDescent="0.4">
      <c r="A26">
        <v>25</v>
      </c>
      <c r="B26" t="s">
        <v>12</v>
      </c>
      <c r="C26" t="s">
        <v>13</v>
      </c>
      <c r="D26" s="1" t="s">
        <v>38</v>
      </c>
      <c r="E26" s="2">
        <v>46468</v>
      </c>
      <c r="F26">
        <v>2770</v>
      </c>
      <c r="G26">
        <v>2454</v>
      </c>
      <c r="H26">
        <f t="shared" si="0"/>
        <v>2449</v>
      </c>
      <c r="I26">
        <v>5</v>
      </c>
      <c r="J26" s="4">
        <f t="shared" si="1"/>
        <v>5.281053628303348</v>
      </c>
      <c r="K26" s="4">
        <f t="shared" si="2"/>
        <v>99.796251018744911</v>
      </c>
      <c r="L26" s="4">
        <f t="shared" si="3"/>
        <v>2.0374898125509371</v>
      </c>
    </row>
    <row r="27" spans="1:12" ht="15" thickBot="1" x14ac:dyDescent="0.4">
      <c r="A27">
        <v>26</v>
      </c>
      <c r="B27" t="s">
        <v>12</v>
      </c>
      <c r="C27" t="s">
        <v>13</v>
      </c>
      <c r="D27" s="1" t="s">
        <v>39</v>
      </c>
      <c r="E27" s="2">
        <v>43044</v>
      </c>
      <c r="F27">
        <v>1994</v>
      </c>
      <c r="G27">
        <v>1806</v>
      </c>
      <c r="H27">
        <f t="shared" si="0"/>
        <v>1803</v>
      </c>
      <c r="I27">
        <v>3</v>
      </c>
      <c r="J27" s="4">
        <f t="shared" si="1"/>
        <v>4.1957067187064396</v>
      </c>
      <c r="K27" s="4">
        <f t="shared" si="2"/>
        <v>99.833887043189378</v>
      </c>
      <c r="L27" s="4">
        <f t="shared" si="3"/>
        <v>1.6611295681063123</v>
      </c>
    </row>
    <row r="28" spans="1:12" ht="15" thickBot="1" x14ac:dyDescent="0.4">
      <c r="A28">
        <v>27</v>
      </c>
      <c r="B28" t="s">
        <v>12</v>
      </c>
      <c r="C28" t="s">
        <v>13</v>
      </c>
      <c r="D28" s="1" t="s">
        <v>40</v>
      </c>
      <c r="E28" s="2">
        <v>117445</v>
      </c>
      <c r="F28">
        <v>3485</v>
      </c>
      <c r="G28">
        <v>3266</v>
      </c>
      <c r="H28">
        <f t="shared" si="0"/>
        <v>3258</v>
      </c>
      <c r="I28">
        <v>8</v>
      </c>
      <c r="J28" s="4">
        <f t="shared" si="1"/>
        <v>2.7808761547958616</v>
      </c>
      <c r="K28" s="4">
        <f t="shared" si="2"/>
        <v>99.755052051439066</v>
      </c>
      <c r="L28" s="4">
        <f t="shared" si="3"/>
        <v>2.4494794856093081</v>
      </c>
    </row>
    <row r="29" spans="1:12" ht="15" thickBot="1" x14ac:dyDescent="0.4">
      <c r="A29">
        <v>28</v>
      </c>
      <c r="B29" t="s">
        <v>12</v>
      </c>
      <c r="C29" t="s">
        <v>13</v>
      </c>
      <c r="D29" s="1" t="s">
        <v>41</v>
      </c>
      <c r="E29" s="2">
        <v>407232</v>
      </c>
      <c r="F29">
        <v>2870</v>
      </c>
      <c r="G29">
        <v>2645</v>
      </c>
      <c r="H29">
        <f t="shared" si="0"/>
        <v>2638</v>
      </c>
      <c r="I29">
        <v>7</v>
      </c>
      <c r="J29" s="4">
        <f t="shared" si="1"/>
        <v>0.64950691497721202</v>
      </c>
      <c r="K29" s="4">
        <f t="shared" si="2"/>
        <v>99.735349716446123</v>
      </c>
      <c r="L29" s="4">
        <f t="shared" si="3"/>
        <v>2.6465028355387528</v>
      </c>
    </row>
    <row r="30" spans="1:12" ht="15" thickBot="1" x14ac:dyDescent="0.4">
      <c r="A30">
        <v>29</v>
      </c>
      <c r="B30" t="s">
        <v>12</v>
      </c>
      <c r="C30" t="s">
        <v>13</v>
      </c>
      <c r="D30" s="1" t="s">
        <v>42</v>
      </c>
      <c r="E30" s="2">
        <v>32407</v>
      </c>
      <c r="F30">
        <v>4680</v>
      </c>
      <c r="G30">
        <v>4366</v>
      </c>
      <c r="H30">
        <f t="shared" si="0"/>
        <v>4362</v>
      </c>
      <c r="I30">
        <v>4</v>
      </c>
      <c r="J30" s="4">
        <f t="shared" si="1"/>
        <v>13.472397938716943</v>
      </c>
      <c r="K30" s="4">
        <f t="shared" si="2"/>
        <v>99.908382959230408</v>
      </c>
      <c r="L30" s="4">
        <f t="shared" si="3"/>
        <v>0.91617040769583147</v>
      </c>
    </row>
    <row r="31" spans="1:12" ht="15" thickBot="1" x14ac:dyDescent="0.4">
      <c r="A31">
        <v>30</v>
      </c>
      <c r="B31" t="s">
        <v>12</v>
      </c>
      <c r="C31" t="s">
        <v>13</v>
      </c>
      <c r="D31" s="1" t="s">
        <v>43</v>
      </c>
      <c r="E31" s="2">
        <v>37695</v>
      </c>
      <c r="F31">
        <v>3957</v>
      </c>
      <c r="G31">
        <v>3323</v>
      </c>
      <c r="H31">
        <f t="shared" si="0"/>
        <v>3314</v>
      </c>
      <c r="I31">
        <v>9</v>
      </c>
      <c r="J31" s="4">
        <f t="shared" si="1"/>
        <v>8.815492770924525</v>
      </c>
      <c r="K31" s="4">
        <f t="shared" si="2"/>
        <v>99.729160397231425</v>
      </c>
      <c r="L31" s="4">
        <f t="shared" si="3"/>
        <v>2.7083960276858261</v>
      </c>
    </row>
    <row r="32" spans="1:12" ht="15" thickBot="1" x14ac:dyDescent="0.4">
      <c r="A32">
        <v>31</v>
      </c>
      <c r="B32" t="s">
        <v>12</v>
      </c>
      <c r="C32" t="s">
        <v>13</v>
      </c>
      <c r="D32" s="1" t="s">
        <v>44</v>
      </c>
      <c r="E32" s="2">
        <v>45068</v>
      </c>
      <c r="F32">
        <v>2307</v>
      </c>
      <c r="G32">
        <v>2211</v>
      </c>
      <c r="H32">
        <f t="shared" si="0"/>
        <v>2204</v>
      </c>
      <c r="I32">
        <v>7</v>
      </c>
      <c r="J32" s="4">
        <f t="shared" si="1"/>
        <v>4.9059199431969462</v>
      </c>
      <c r="K32" s="4">
        <f t="shared" si="2"/>
        <v>99.683401175938485</v>
      </c>
      <c r="L32" s="4">
        <f t="shared" si="3"/>
        <v>3.1659882406151061</v>
      </c>
    </row>
    <row r="33" spans="1:12" ht="15" thickBot="1" x14ac:dyDescent="0.4">
      <c r="A33">
        <v>32</v>
      </c>
      <c r="B33" t="s">
        <v>12</v>
      </c>
      <c r="C33" t="s">
        <v>13</v>
      </c>
      <c r="D33" s="1" t="s">
        <v>45</v>
      </c>
      <c r="E33" s="2">
        <v>79588</v>
      </c>
      <c r="F33">
        <v>2589</v>
      </c>
      <c r="G33">
        <v>2000</v>
      </c>
      <c r="H33">
        <f t="shared" si="0"/>
        <v>1990</v>
      </c>
      <c r="I33">
        <v>10</v>
      </c>
      <c r="J33" s="4">
        <f t="shared" si="1"/>
        <v>2.5129416494948984</v>
      </c>
      <c r="K33" s="4">
        <f t="shared" si="2"/>
        <v>99.5</v>
      </c>
      <c r="L33" s="4">
        <f t="shared" si="3"/>
        <v>5</v>
      </c>
    </row>
    <row r="34" spans="1:12" ht="15" thickBot="1" x14ac:dyDescent="0.4">
      <c r="A34">
        <v>33</v>
      </c>
      <c r="B34" t="s">
        <v>12</v>
      </c>
      <c r="C34" t="s">
        <v>13</v>
      </c>
      <c r="D34" s="1" t="s">
        <v>46</v>
      </c>
      <c r="E34" s="2">
        <v>56403</v>
      </c>
      <c r="F34">
        <v>4065</v>
      </c>
      <c r="G34">
        <v>3798</v>
      </c>
      <c r="H34">
        <f t="shared" si="0"/>
        <v>3784</v>
      </c>
      <c r="I34">
        <v>14</v>
      </c>
      <c r="J34" s="4">
        <f t="shared" si="1"/>
        <v>6.7336843784905067</v>
      </c>
      <c r="K34" s="4">
        <f t="shared" si="2"/>
        <v>99.631384939441816</v>
      </c>
      <c r="L34" s="4">
        <f t="shared" si="3"/>
        <v>3.6861506055818851</v>
      </c>
    </row>
    <row r="35" spans="1:12" ht="15" thickBot="1" x14ac:dyDescent="0.4">
      <c r="A35">
        <v>34</v>
      </c>
      <c r="B35" t="s">
        <v>12</v>
      </c>
      <c r="C35" t="s">
        <v>13</v>
      </c>
      <c r="D35" s="3" t="s">
        <v>47</v>
      </c>
      <c r="E35" s="2">
        <v>28011</v>
      </c>
      <c r="F35">
        <v>3777</v>
      </c>
      <c r="G35">
        <v>3444</v>
      </c>
      <c r="H35">
        <f t="shared" si="0"/>
        <v>3431</v>
      </c>
      <c r="I35">
        <v>13</v>
      </c>
      <c r="J35" s="4">
        <f t="shared" si="1"/>
        <v>12.295169754739209</v>
      </c>
      <c r="K35" s="4">
        <f t="shared" si="2"/>
        <v>99.622531939605111</v>
      </c>
      <c r="L35" s="4">
        <f t="shared" si="3"/>
        <v>3.7746806039488967</v>
      </c>
    </row>
  </sheetData>
  <hyperlinks>
    <hyperlink ref="D2" r:id="rId1" display="javascript:sym('05188')" xr:uid="{359BECE6-8E48-4BCC-A27D-309C7CE14E0C}"/>
    <hyperlink ref="D3" r:id="rId2" display="javascript:sym('05380')" xr:uid="{E34DA7F7-56F3-41C3-BF6A-8473761106AC}"/>
    <hyperlink ref="D4" r:id="rId3" display="javascript:sym('05384')" xr:uid="{0D7A4C49-FB67-469A-8209-175ABAF34E80}"/>
    <hyperlink ref="D5" r:id="rId4" display="javascript:sym('05190')" xr:uid="{1E261237-5195-4252-B50C-7C60D43B2E14}"/>
    <hyperlink ref="D6" r:id="rId5" display="javascript:sym('05385')" xr:uid="{573FBD9C-F710-4127-B3EA-E77AD79069C7}"/>
    <hyperlink ref="D7" r:id="rId6" display="javascript:sym('05193')" xr:uid="{4CC2022B-E159-4A1B-B755-7CC51707FB7E}"/>
    <hyperlink ref="D8" r:id="rId7" display="javascript:sym('05186')" xr:uid="{442A5FE3-0E37-4F46-B3FC-4B5760E25F9E}"/>
    <hyperlink ref="D9" r:id="rId8" display="javascript:sym('05196')" xr:uid="{75A02C6D-C5F5-4F55-B492-BAA71CDBFC5D}"/>
    <hyperlink ref="D10" r:id="rId9" display="javascript:sym('05184')" xr:uid="{1B21BF9E-139B-45B5-A2D7-AC0675D634EF}"/>
    <hyperlink ref="D11" r:id="rId10" display="javascript:sym('05191')" xr:uid="{7EE437B8-4371-4B97-B808-17F3F425BBB9}"/>
    <hyperlink ref="D12" r:id="rId11" display="javascript:sym('05382')" xr:uid="{1D1D8639-A7E9-4F4A-87AB-016BD1426E65}"/>
    <hyperlink ref="D13" r:id="rId12" display="javascript:sym('05403')" xr:uid="{804A9081-A4C9-4E18-B462-59D1998F1DAD}"/>
    <hyperlink ref="D14" r:id="rId13" display="javascript:sym('05194')" xr:uid="{6B961FF2-A1C5-4DC4-AF8E-E1DB555F767A}"/>
    <hyperlink ref="D15" r:id="rId14" display="javascript:sym('05400')" xr:uid="{E5979B50-65F9-4160-BB79-C7607EB97E02}"/>
    <hyperlink ref="D16" r:id="rId15" display="javascript:sym('05189')" xr:uid="{711D6389-7EB0-4042-8843-D237A53E29EC}"/>
    <hyperlink ref="D17" r:id="rId16" display="javascript:sym('05396')" xr:uid="{5A2D37A5-5355-4D6F-ACA1-C5EDF6211D80}"/>
    <hyperlink ref="D18" r:id="rId17" display="javascript:sym('05195')" xr:uid="{A5480450-2888-4CC6-AD80-D4EACCC1EE33}"/>
    <hyperlink ref="D19" r:id="rId18" display="javascript:sym('05401')" xr:uid="{C43B6F87-B0C6-4361-8DDA-BC21AC51CE8A}"/>
    <hyperlink ref="D20" r:id="rId19" display="javascript:sym('05407')" xr:uid="{CDFD1E52-F837-49A5-B358-6293007D10AE}"/>
    <hyperlink ref="D21" r:id="rId20" display="javascript:sym('05398')" xr:uid="{283D923F-C2F9-4E01-AE58-05F2EA7F9D4D}"/>
    <hyperlink ref="D22" r:id="rId21" display="javascript:sym('05376')" xr:uid="{412FF950-06C8-4890-AA73-E464230C15C6}"/>
    <hyperlink ref="D23" r:id="rId22" display="javascript:sym('05402')" xr:uid="{366AE95C-6613-4628-AE28-16299AA3FC58}"/>
    <hyperlink ref="D24" r:id="rId23" display="javascript:sym('05378')" xr:uid="{FCCA179E-AEBB-463F-B8C0-64E3C3807F38}"/>
    <hyperlink ref="D25" r:id="rId24" display="javascript:sym('05197')" xr:uid="{E8C2052A-F838-4C2F-B871-E49930522B01}"/>
    <hyperlink ref="D26" r:id="rId25" display="javascript:sym('05198')" xr:uid="{9B8AF9DE-888D-43C6-9770-06636CCABCAB}"/>
    <hyperlink ref="D27" r:id="rId26" display="javascript:sym('05379')" xr:uid="{C75B23E2-3483-426B-AEA6-A593A9F83856}"/>
    <hyperlink ref="D28" r:id="rId27" display="javascript:sym('05375')" xr:uid="{7FBF7785-52C4-453C-AF42-7E421B37E875}"/>
    <hyperlink ref="D29" r:id="rId28" display="javascript:sym('05383')" xr:uid="{6B2F5E40-6511-4174-8F0F-F37D517AD0C3}"/>
    <hyperlink ref="D30" r:id="rId29" display="javascript:sym('05399')" xr:uid="{1B639E40-51B7-41C8-B9AC-EA7C2AD79E3B}"/>
    <hyperlink ref="D31" r:id="rId30" display="javascript:sym('05192')" xr:uid="{C055762B-E7F8-4E84-9BC2-30EF6B35C6E0}"/>
    <hyperlink ref="D32" r:id="rId31" display="javascript:sym('05381')" xr:uid="{53E1D0F4-8F36-45FD-B21D-09139514BD3E}"/>
    <hyperlink ref="D33" r:id="rId32" display="javascript:sym('05187')" xr:uid="{F47C1B09-99EC-49B8-BF38-FDCC83AC1920}"/>
    <hyperlink ref="D34" r:id="rId33" display="javascript:sym('05377')" xr:uid="{21F45277-3C58-4986-92F3-91C757EC0962}"/>
    <hyperlink ref="D35" r:id="rId34" display="javascript:sym('05374')" xr:uid="{11D3213B-B0F9-4C5C-BEC9-3C37701FAE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sudhams reddy</dc:creator>
  <cp:lastModifiedBy>sudhams reddy</cp:lastModifiedBy>
  <dcterms:created xsi:type="dcterms:W3CDTF">2026-05-14T04:46:35Z</dcterms:created>
  <dcterms:modified xsi:type="dcterms:W3CDTF">2026-05-14T06:15:44Z</dcterms:modified>
</cp:coreProperties>
</file>